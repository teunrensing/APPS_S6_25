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3b52e1af29c5fcd/Documenten/School/Spraaktrainer/Documentatie/"/>
    </mc:Choice>
  </mc:AlternateContent>
  <xr:revisionPtr revIDLastSave="579" documentId="11_95FAB5C32A6B3A95C832F1F1E6CC29D6819E6364" xr6:coauthVersionLast="47" xr6:coauthVersionMax="47" xr10:uidLastSave="{448B9002-6173-4B0F-86CB-DBA4ADC098E7}"/>
  <bookViews>
    <workbookView xWindow="-108" yWindow="-108" windowWidth="23256" windowHeight="12456" activeTab="3" xr2:uid="{00000000-000D-0000-FFFF-FFFF00000000}"/>
  </bookViews>
  <sheets>
    <sheet name="Hoofd module" sheetId="1" r:id="rId1"/>
    <sheet name="Power module" sheetId="2" r:id="rId2"/>
    <sheet name="Display knop module" sheetId="3" r:id="rId3"/>
    <sheet name="Extra" sheetId="4" r:id="rId4"/>
  </sheets>
  <definedNames>
    <definedName name="Aantal_Basis_PCB_s">'Hoofd module'!$D$1</definedName>
    <definedName name="Aantal_Display_knop_PCB_s">'Display knop module'!$D$1</definedName>
    <definedName name="Aantal_PCB_s">'Power module'!$D$1</definedName>
    <definedName name="Aantal_Spraaktrainers">Extra!$D$1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4" l="1"/>
  <c r="J8" i="4" s="1"/>
  <c r="G14" i="4"/>
  <c r="J14" i="4" s="1"/>
  <c r="G13" i="4"/>
  <c r="J13" i="4" s="1"/>
  <c r="G12" i="4"/>
  <c r="J12" i="4" s="1"/>
  <c r="G11" i="4"/>
  <c r="J11" i="4" s="1"/>
  <c r="G10" i="4"/>
  <c r="J10" i="4" s="1"/>
  <c r="G9" i="4"/>
  <c r="J9" i="4" s="1"/>
  <c r="G4" i="4"/>
  <c r="J4" i="4" s="1"/>
  <c r="G5" i="4"/>
  <c r="J5" i="4" s="1"/>
  <c r="G6" i="4"/>
  <c r="J6" i="4" s="1"/>
  <c r="G7" i="4"/>
  <c r="J7" i="4" s="1"/>
  <c r="G3" i="4"/>
  <c r="J3" i="4" s="1"/>
  <c r="G9" i="1"/>
  <c r="J9" i="1" s="1"/>
  <c r="G14" i="1"/>
  <c r="J14" i="1" s="1"/>
  <c r="G13" i="1"/>
  <c r="J13" i="1" s="1"/>
  <c r="G17" i="1"/>
  <c r="J17" i="1" s="1"/>
  <c r="G16" i="1"/>
  <c r="J16" i="1" s="1"/>
  <c r="G12" i="1"/>
  <c r="J12" i="1" s="1"/>
  <c r="G7" i="1"/>
  <c r="G15" i="1"/>
  <c r="J15" i="1" s="1"/>
  <c r="G4" i="1"/>
  <c r="J4" i="1" s="1"/>
  <c r="G5" i="1"/>
  <c r="J5" i="1" s="1"/>
  <c r="G3" i="1"/>
  <c r="J3" i="1" s="1"/>
  <c r="G6" i="1"/>
  <c r="J6" i="1" s="1"/>
  <c r="G8" i="1"/>
  <c r="J8" i="1" s="1"/>
  <c r="G11" i="1"/>
  <c r="J11" i="1" s="1"/>
  <c r="G10" i="1"/>
  <c r="J10" i="1" s="1"/>
  <c r="J7" i="1"/>
  <c r="G5" i="3"/>
  <c r="J5" i="3" s="1"/>
  <c r="G12" i="3"/>
  <c r="J12" i="3" s="1"/>
  <c r="G14" i="3"/>
  <c r="G8" i="3"/>
  <c r="J8" i="3" s="1"/>
  <c r="G3" i="3"/>
  <c r="J3" i="3" s="1"/>
  <c r="G4" i="3"/>
  <c r="J4" i="3" s="1"/>
  <c r="G6" i="3"/>
  <c r="J6" i="3" s="1"/>
  <c r="G7" i="3"/>
  <c r="J7" i="3" s="1"/>
  <c r="G10" i="3"/>
  <c r="J10" i="3" s="1"/>
  <c r="G9" i="3"/>
  <c r="J9" i="3" s="1"/>
  <c r="G13" i="3"/>
  <c r="J13" i="3" s="1"/>
  <c r="G11" i="3"/>
  <c r="J11" i="3" s="1"/>
  <c r="J15" i="4" l="1"/>
  <c r="J18" i="1"/>
  <c r="J15" i="3"/>
  <c r="G24" i="2"/>
  <c r="J24" i="2" s="1"/>
  <c r="G23" i="2"/>
  <c r="J23" i="2" s="1"/>
  <c r="G25" i="2"/>
  <c r="J25" i="2" s="1"/>
  <c r="G22" i="2"/>
  <c r="J22" i="2" s="1"/>
  <c r="G20" i="2"/>
  <c r="J20" i="2" s="1"/>
  <c r="G21" i="2"/>
  <c r="J21" i="2" s="1"/>
  <c r="G19" i="2"/>
  <c r="J19" i="2" s="1"/>
  <c r="G18" i="2"/>
  <c r="J18" i="2" s="1"/>
  <c r="G13" i="2"/>
  <c r="J13" i="2" s="1"/>
  <c r="G14" i="2"/>
  <c r="J14" i="2" s="1"/>
  <c r="G16" i="2"/>
  <c r="J16" i="2" s="1"/>
  <c r="G17" i="2"/>
  <c r="J17" i="2" s="1"/>
  <c r="G15" i="2"/>
  <c r="J15" i="2" s="1"/>
  <c r="G8" i="2"/>
  <c r="J8" i="2" s="1"/>
  <c r="G6" i="2"/>
  <c r="J6" i="2" s="1"/>
  <c r="G7" i="2"/>
  <c r="J7" i="2" s="1"/>
  <c r="G10" i="2"/>
  <c r="J10" i="2" s="1"/>
  <c r="G12" i="2"/>
  <c r="J12" i="2" s="1"/>
  <c r="G11" i="2"/>
  <c r="J11" i="2" s="1"/>
  <c r="G9" i="2"/>
  <c r="J9" i="2" s="1"/>
  <c r="G4" i="2"/>
  <c r="J4" i="2" s="1"/>
  <c r="G3" i="2"/>
  <c r="J3" i="2" s="1"/>
  <c r="G5" i="2"/>
  <c r="J5" i="2" s="1"/>
  <c r="J26" i="2" l="1"/>
</calcChain>
</file>

<file path=xl/sharedStrings.xml><?xml version="1.0" encoding="utf-8"?>
<sst xmlns="http://schemas.openxmlformats.org/spreadsheetml/2006/main" count="421" uniqueCount="189">
  <si>
    <t>Mouser</t>
  </si>
  <si>
    <t>VJ1206Y104JXAAT Vishay / Vitramon | Mouser Nederland</t>
  </si>
  <si>
    <t>KAM31GR72A105KU KYOCERA AVX | Mouser Nederland</t>
  </si>
  <si>
    <t>CRG1206F4K7/10 TE Connectivity / Holsworthy | Mouser Nederland</t>
  </si>
  <si>
    <t>RC1206JR-1310KL YAGEO | Mouser Nederland</t>
  </si>
  <si>
    <t>CRGH1206F22K TE Connectivity / Holsworthy | Mouser Nederland</t>
  </si>
  <si>
    <t>ESP32-S3-WROOM-1</t>
  </si>
  <si>
    <t>ESP32-S3-WROOM-1-N16R8 Espressif Systems | Mouser Nederland</t>
  </si>
  <si>
    <t>ESD-beschermingsdiodes</t>
  </si>
  <si>
    <t>USBLC6-2P6 STMicroelectronics | Mouser Nederland</t>
  </si>
  <si>
    <t>Pluggable Terminal Blocks PTSM 0,5/ 7-HV-2,5- THR R44</t>
  </si>
  <si>
    <t>https://nl.mouser.com/ProductDetail/Phoenix-Contact/1778609?qs=i0qWf6NAoDs20gR%2FeqsYbg%3D%3D</t>
  </si>
  <si>
    <t>Pluggable Terminal Blocks PTSM 0,5/ 8-HV-2,5 THR R44</t>
  </si>
  <si>
    <t>https://nl.mouser.com/ProductDetail/Phoenix-Contact/1778612?qs=i0qWf6NAoDsKv%2FatecV0wA%3D%3D</t>
  </si>
  <si>
    <t>Pluggable Terminal Blocks PTSM 0 5/ 6-HH0-2 5-SMD R44</t>
  </si>
  <si>
    <t>https://nl.mouser.com/ProductDetail/Phoenix-Contact/1808239?qs=sGAEpiMZZMvPvGwLNS671y19%252B%2FPPI9uepj0elGsKWY32q9OBHL93nA%3D%3D</t>
  </si>
  <si>
    <t>Pluggable Terminal Blocks PTSM 0,5/ 5-HH-2,5 SMD R32</t>
  </si>
  <si>
    <t>https://nl.mouser.com/ProductDetail/Phoenix-Contact/1778793?qs=sGAEpiMZZMvPvGwLNS67135qURYkq3ss7cxTYyf9LKc%3D</t>
  </si>
  <si>
    <t>USB4105-GF-A-120 GCT | Mouser Nederland</t>
  </si>
  <si>
    <t>Pluggable Terminal Blocks PTSM 0,5/ 7-P-2,5</t>
  </si>
  <si>
    <t>https://nl.mouser.com/ProductDetail/Phoenix-Contact/1778887?qs=i0qWf6NAoDsv3Wj83LgZQA%3D%3D</t>
  </si>
  <si>
    <t>Pluggable Terminal Blocks PTSM 0,5/ 6-P-2,5</t>
  </si>
  <si>
    <t>https://nl.mouser.com/ProductDetail/Phoenix-Contact/1778874?qs=i0qWf6NAoDtRUs6DbGt0FA%3D%3D</t>
  </si>
  <si>
    <t>Pluggable Terminal Blocks PTSM 0,5/ 8-P-2,5</t>
  </si>
  <si>
    <t>https://nl.mouser.com/ProductDetail/Phoenix-Contact/1778890?qs=i0qWf6NAoDsV8Bc%252BXGoVBA%3D%3D</t>
  </si>
  <si>
    <t>Aantal PCB's:</t>
  </si>
  <si>
    <t>Status</t>
  </si>
  <si>
    <t>Component</t>
  </si>
  <si>
    <t>Omschrijving</t>
  </si>
  <si>
    <t>Functie</t>
  </si>
  <si>
    <t>Leverancier</t>
  </si>
  <si>
    <t>Aantal per PCB</t>
  </si>
  <si>
    <t>Aantal Nodig</t>
  </si>
  <si>
    <t>Prijs/stuk</t>
  </si>
  <si>
    <t>Verpakt per</t>
  </si>
  <si>
    <t>Prijs totaal</t>
  </si>
  <si>
    <t>Link</t>
  </si>
  <si>
    <t>Bestellen</t>
  </si>
  <si>
    <t>CC0402KRX5R6BB105</t>
  </si>
  <si>
    <t>Ceramic Capacitor, 1 µF, 10 V</t>
  </si>
  <si>
    <t>3.3 Converter</t>
  </si>
  <si>
    <t>Farnell</t>
  </si>
  <si>
    <t>CC0402KRX5R6BB105 YAGEO, SMD Multilayer Ceramic Capacitor, 1 µF, 10 V, 0402 [1005 Metric], ± 10%, X5R | Farnell Nederland</t>
  </si>
  <si>
    <t>MIC5504-3.3YM5-TR</t>
  </si>
  <si>
    <t>Voltage Regulator, 2.5V to 5.5V, 3.3Vout</t>
  </si>
  <si>
    <t>MIC5504-3.3YM5-TR MICROCHIP, Fixed LDO Voltage Regulator, 2.5V to 5.5V, 160mV Dropout, 3.3Vout, 300mAout, SOT-23-5 | Farnell Nederland</t>
  </si>
  <si>
    <t>CRCW060310K0FKEA</t>
  </si>
  <si>
    <t>Resistor, 10 kohm</t>
  </si>
  <si>
    <t>CRCW060310K0FKEA VISHAY, SMD Chip Resistor, 10 kohm, ± 1%, 100 mW, 0603 [1608 Metric], Thick Film, General Purpose | Farnell Nederland</t>
  </si>
  <si>
    <t>CC0805KKX6S5BB106</t>
  </si>
  <si>
    <t>Capacitor, 10 µF, 6.3 V, 0805</t>
  </si>
  <si>
    <t>5V Converter</t>
  </si>
  <si>
    <t>https://nl.farnell.com/yageo/cc0805kkx6s5bb106/cap-10uf-6-3v-mlcc-0805/dp/3873497</t>
  </si>
  <si>
    <t>1N5819HW-7-F</t>
  </si>
  <si>
    <t>Schottky Rectifier, 40 V, 1 A</t>
  </si>
  <si>
    <t>1N5819HW-7-F DIODES INC., Schottky Rectifier, 40 V, 1 A, Single, SOD-123, 2 Pins, 750 mV | Farnell Nederland</t>
  </si>
  <si>
    <t>LQH32CN4R7M33L</t>
  </si>
  <si>
    <t>Inductor 4.7uH 650mA</t>
  </si>
  <si>
    <t>LQH32CN4R7M33L MURATA, Power Inductor (SMD), 4.7 µH, 650 mA, Shielded, LQH32CN_33 Series, 1210 [3225 Metric] | Farnell Nederland</t>
  </si>
  <si>
    <t>MIC2288YD5-TR</t>
  </si>
  <si>
    <t>DC-DC Switching Regulator, Boost</t>
  </si>
  <si>
    <t>MIC2288YD5-TR MICROCHIP, DC-DC Switching Regulator, Boost, 2.5V to 10V in, 3.6V to 34V out, 1A out, SOT-23-5 | Farnell Nederland</t>
  </si>
  <si>
    <t>MCWR06X5621FTL</t>
  </si>
  <si>
    <t>Resistor, 5.62 kohm</t>
  </si>
  <si>
    <t>MCWR06X5621FTL MULTICOMP PRO, SMD Chip Resistor, 5.62 kohm, ± 1%, 100 mW, 0603 [1608 Metric], Thick Film, General Purpose | Farnell Nederland</t>
  </si>
  <si>
    <t>MCWR06X1871FTL</t>
  </si>
  <si>
    <t>Resistor, 1.87 kohm</t>
  </si>
  <si>
    <t>MCWR06X1871FTL MULTICOMP PRO, SMD Chip Resistor, 1.87 kohm, ± 1%, 100 mW, 0603 [1608 Metric], Thick Film, General Purpose | Farnell Nederland</t>
  </si>
  <si>
    <t>MCP73832T-2ACI/OT</t>
  </si>
  <si>
    <t>Battery Charger for 1 Cell of Li-Ion, Li-Pol battery</t>
  </si>
  <si>
    <t>Charging</t>
  </si>
  <si>
    <t>MCP73832T-2ACI/OT MICROCHIP, Battery Charger for 1 Cell of Li-Ion, Li-Pol battery, 6V input, 4.2V / 500mA charge, SOT-23-5 | Farnell Nederland</t>
  </si>
  <si>
    <t>C1206C475K9RACTU</t>
  </si>
  <si>
    <t>Capacitor 4.7uF 6.3V</t>
  </si>
  <si>
    <t>C1206C475K9RACTU KEMET, SMD Multilayer Ceramic Capacitor, 4.7 µF, 6.3 V, 1206 [3216 Metric], ± 10%, X7R | Farnell Nederland</t>
  </si>
  <si>
    <t>QBLP595-O5</t>
  </si>
  <si>
    <t>Led orange</t>
  </si>
  <si>
    <t>QBLP595-O5 QT BRIGHTEK, LED, AlInGaP, Clear Lens, Orange, SMD, 0402 [1005 Metric], 5 mA, 1.85 V, 605 nm | Farnell Nederland</t>
  </si>
  <si>
    <t>ERJ2RKF6340X</t>
  </si>
  <si>
    <t>Resistor for led 634Ohm</t>
  </si>
  <si>
    <t>ERJ2RKF6340X PANASONIC, SMD Chip Resistor, 634 ohm, ± 1%, 100 mW, 0402 [1005 Metric], Thick Film, Precision | Farnell Nederland</t>
  </si>
  <si>
    <t>CRCW04022K00FKEDC</t>
  </si>
  <si>
    <t>Resistor 2K</t>
  </si>
  <si>
    <t>CRCW04022K00FKEDC VISHAY, SMD Chip Resistor, 2 kohm, ± 1%, 63 mW, 0402 [1005 Metric], Thick Film, General Purpose | Farnell Nederland</t>
  </si>
  <si>
    <t>JST 2 pins</t>
  </si>
  <si>
    <t>NCA9306DPH</t>
  </si>
  <si>
    <t>Logic Level translator</t>
  </si>
  <si>
    <t>Communicatie</t>
  </si>
  <si>
    <t>NCA9306DPH NEXPERIA, Translator, Voltage Level, 2 Inputs, 0 V to 5 V Supply, TSSOP-8, -40 °C to 125 °C | Farnell Nederland</t>
  </si>
  <si>
    <t>PCA6408APW,118</t>
  </si>
  <si>
    <t>I/O Expander, 8 bit, I2C</t>
  </si>
  <si>
    <t>https://nl.farnell.com/nxp/pca6408apw-118/i-o-expander-8bit-400khz-tssop/dp/2776179</t>
  </si>
  <si>
    <t>MCP3021A2T-E/OT</t>
  </si>
  <si>
    <t>Analogue to Digital Converter, 10 bit</t>
  </si>
  <si>
    <t>MCP3021A2T-E/OT MICROCHIP, Analogue to Digital Converter, 10 bit, 22.3 kSPS, Single Ended, I2C, Single, 2.7 V | Farnell Nederland</t>
  </si>
  <si>
    <t>Inplugbare eindblokken PTSM</t>
  </si>
  <si>
    <t>1808239 Phoenix Contact | Mouser Nederland</t>
  </si>
  <si>
    <t>Led Matrix (extra)</t>
  </si>
  <si>
    <t>MPTSM-31N-V</t>
  </si>
  <si>
    <t>Tactile Switch</t>
  </si>
  <si>
    <t>MPTSM-31N-V MULTICOMP PRO, Tactile Switch, SPST-NO, Top Actuated, 4.3mm Height, SMD, Rectangular Button, 160 gf, 50mA at 12VDC | Farnell Nederland</t>
  </si>
  <si>
    <t>Totaal:</t>
  </si>
  <si>
    <t>100nf c</t>
  </si>
  <si>
    <t>1nf C</t>
  </si>
  <si>
    <t>JST connector</t>
  </si>
  <si>
    <t>https://nl.mouser.com/ProductDetail/Phoenix-Contact/1814948?qs=eTPcRhULBzxggS8GURKAhQ%3D%3D</t>
  </si>
  <si>
    <t>usbc header</t>
  </si>
  <si>
    <t>4k7 resistork</t>
  </si>
  <si>
    <t>0 resistor</t>
  </si>
  <si>
    <t>10k resistor</t>
  </si>
  <si>
    <t>5k1 resistor</t>
  </si>
  <si>
    <t>https://nl.mouser.com/ProductDetail/YAGEO/RT1206FRE075K1L?qs=RtU67MWp17DplirmSiMQVw%3D%3D</t>
  </si>
  <si>
    <t>sw push</t>
  </si>
  <si>
    <t>esp32 s3 wroom</t>
  </si>
  <si>
    <t>usblc6 2p6</t>
  </si>
  <si>
    <t>Display knop module</t>
  </si>
  <si>
    <t>VJ1206Y104JXAAT</t>
  </si>
  <si>
    <t>KAM31GR72A105KU</t>
  </si>
  <si>
    <t>USB4105-GF-A-120</t>
  </si>
  <si>
    <t>CRG1206F4K7/10</t>
  </si>
  <si>
    <t>ESP32-S3-WROOM-1-N16R8</t>
  </si>
  <si>
    <t>USBLC6-2P6</t>
  </si>
  <si>
    <t>RC1206JR-1310KL</t>
  </si>
  <si>
    <t>RT1206FRE075K1L</t>
  </si>
  <si>
    <t>KSR232G LFS</t>
  </si>
  <si>
    <t>https://nl.mouser.com/ProductDetail/CK/KSR232G-LFS?qs=ljbEvF4DwONacdpFgAfrOw%3D%3D</t>
  </si>
  <si>
    <t>https://nl.mouser.com/ProductDetail/YAGEO/AC1206FR-070RL?qs=sGAEpiMZZMvdGkrng054t7z4BkURc4LzP9wTr95oZm9uXjBjNgMIBQ%3D%3D</t>
  </si>
  <si>
    <t>AC1206FR-070RL</t>
  </si>
  <si>
    <t>Naam PCB:</t>
  </si>
  <si>
    <t>BasisModule</t>
  </si>
  <si>
    <t>Display &amp; Buttons ESP32 Module V1.0</t>
  </si>
  <si>
    <t>Li-Po Charger &amp; Converter V1.0</t>
  </si>
  <si>
    <t>Basis Module</t>
  </si>
  <si>
    <t>CRGH1206F22K</t>
  </si>
  <si>
    <t>RS282G05A3SMRT</t>
  </si>
  <si>
    <t>Capacitor .1uF 50v</t>
  </si>
  <si>
    <t>Capacitor 100V 1uF</t>
  </si>
  <si>
    <t>Resistor 4K7</t>
  </si>
  <si>
    <t>Resistor 5.1K</t>
  </si>
  <si>
    <t>Resistor 10kOhms</t>
  </si>
  <si>
    <t>Resistor 22K</t>
  </si>
  <si>
    <t>Resistor 0</t>
  </si>
  <si>
    <t>Drukschakelaars SPST 0.05A 12V 250gf</t>
  </si>
  <si>
    <t>KSR232G LFS C&amp;K | Mouser Nederland</t>
  </si>
  <si>
    <t>1.44 inch TFT Display 128*128 pixels - SPI - ST7735S - 3.3V</t>
  </si>
  <si>
    <t xml:space="preserve">1.44 inch TFT Display </t>
  </si>
  <si>
    <t>Knoppen</t>
  </si>
  <si>
    <t>TinyTronics</t>
  </si>
  <si>
    <t>Aantal per Spraaktrainer</t>
  </si>
  <si>
    <t>Extra Benodigdheden</t>
  </si>
  <si>
    <t>Aantal Spraaktrainers:</t>
  </si>
  <si>
    <t>https://www.tinytronics.nl/nl/displays/tft/1.44-inch-tft-display-128*128-pixels-spi-st7735s-3.3v?sort=p.price&amp;order=ASC</t>
  </si>
  <si>
    <t>Naam:</t>
  </si>
  <si>
    <t>Toevoegen</t>
  </si>
  <si>
    <t>Kabel Hoofdmodule</t>
  </si>
  <si>
    <t>RMCF1206JT5K10 SEI Stackpole | Mouser Nederland</t>
  </si>
  <si>
    <t>RMCF1206JT5K10</t>
  </si>
  <si>
    <t>USB_C_Receptacle_GCT_USB4105-xx-A_16P_TopMnt_Horizontal</t>
  </si>
  <si>
    <t>INMP441 MEMS Microfoon - I2S</t>
  </si>
  <si>
    <t>Microfoon i2s</t>
  </si>
  <si>
    <t>Geluid opnemen</t>
  </si>
  <si>
    <t>DFRobot Fermion DFPlayer Pro - MP3 Player Module</t>
  </si>
  <si>
    <t>MP3 Player Module</t>
  </si>
  <si>
    <t>Geluid afspelen</t>
  </si>
  <si>
    <t>Knoppen display</t>
  </si>
  <si>
    <t>Hoofd display</t>
  </si>
  <si>
    <t>https://www.tinytronics.nl/nl/displays/tft/4-inch-tft-display-320*480-pixels-met-touchscreen-spi-ili9488?sort=p.price&amp;order=ASC</t>
  </si>
  <si>
    <t>https://www.tinytronics.nl/nl/sensoren/geluid/inmp441-mems-microfoon-i2s</t>
  </si>
  <si>
    <t>https://www.tinytronics.nl/en/audio/audio-sources/dfrobot-fermion-dfplayer-pro-mp3-player-module</t>
  </si>
  <si>
    <t>https://www.tinytronics.nl/nl/power/batterijen/li-po/pkcell-li-po-batterij-3.7v-1200mah-jst-ph-lp503562</t>
  </si>
  <si>
    <t>PKCELL Li-Po Batterij 3.7V 1200mAh - JST-PH - LP503562</t>
  </si>
  <si>
    <t>Li-Po Batterij 3.7V 1200mAh</t>
  </si>
  <si>
    <t>Voeding</t>
  </si>
  <si>
    <t>B2B-PH-K-S(LF)(SN)</t>
  </si>
  <si>
    <t>https://nl.mouser.com/ProductDetail/JST-Commercial/B2B-PH-K-SLFSN?qs=cdbOS8ANM9AlozzPlOt72g%3D%3D</t>
  </si>
  <si>
    <t>XHP-9</t>
  </si>
  <si>
    <t>JST 9pin stekker</t>
  </si>
  <si>
    <t>Kabel Displays knoppen</t>
  </si>
  <si>
    <t>B9B-XH-A(LF)(SN)</t>
  </si>
  <si>
    <t>https://nl.mouser.com/ProductDetail/JST-Commercial/B9B-XH-ALFSN?qs=cdbOS8ANM9DfzNXTywKQ5A%3D%3D</t>
  </si>
  <si>
    <t>https://nl.mouser.com/ProductDetail/JST-Commercial/XHP-9?qs=QpmGXVUTftHM%2FmHT1mOcYA%3D%3D</t>
  </si>
  <si>
    <t>SXH-001T-P0.6</t>
  </si>
  <si>
    <t>JST XHP pinnen</t>
  </si>
  <si>
    <t>https://nl.mouser.com/ProductDetail/JST-Commercial/SXH-001T-P0.6?qs=QpmGXVUTftHVe8yFBLIwfA%3D%3D</t>
  </si>
  <si>
    <t>CHERRY CHERRY MX Red RGB - toetsmodule | Toetsenbordaccessoires tegen zeer gunstige prijzen | reichelt elektronik</t>
  </si>
  <si>
    <t>CHERRY MX Red RGB - toetsmodule</t>
  </si>
  <si>
    <t>Reichelt</t>
  </si>
  <si>
    <t>4 inch TFT Display 320*480 pixels met Touchscreen - SPI - ILI9488 - 3.3V</t>
  </si>
  <si>
    <t>4 inch TFT 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</si>
</sst>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€&quot;\ #,##0.00;[Red]&quot;€&quot;\ \-#,##0.00"/>
    <numFmt numFmtId="44" formatCode="_ &quot;€&quot;\ * #,##0.00_ ;_ &quot;€&quot;\ * \-#,##0.00_ ;_ &quot;€&quot;\ * &quot;-&quot;??_ ;_ @_ 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</font>
    <font>
      <sz val="11"/>
      <color rgb="FF000000"/>
      <name val="Aptos Narrow"/>
      <family val="2"/>
    </font>
    <font>
      <sz val="10"/>
      <color rgb="FF333333"/>
      <name val="Arial"/>
      <family val="2"/>
    </font>
    <font>
      <b/>
      <sz val="11"/>
      <color theme="0"/>
      <name val="Aptos Narrow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42">
    <xf numFmtId="0" fontId="0" fillId="0" borderId="0" xfId="0"/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6" fillId="0" borderId="0" xfId="0" applyFont="1"/>
    <xf numFmtId="0" fontId="4" fillId="0" borderId="0" xfId="2" applyFill="1" applyBorder="1" applyAlignment="1">
      <alignment wrapText="1"/>
    </xf>
    <xf numFmtId="0" fontId="7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horizontal="left"/>
    </xf>
    <xf numFmtId="0" fontId="8" fillId="0" borderId="0" xfId="0" applyFont="1" applyAlignment="1">
      <alignment wrapText="1"/>
    </xf>
    <xf numFmtId="0" fontId="8" fillId="0" borderId="0" xfId="0" applyFont="1"/>
    <xf numFmtId="44" fontId="8" fillId="0" borderId="0" xfId="1" applyFont="1"/>
    <xf numFmtId="0" fontId="2" fillId="0" borderId="0" xfId="0" applyFont="1"/>
    <xf numFmtId="44" fontId="2" fillId="0" borderId="0" xfId="1" applyFont="1"/>
    <xf numFmtId="0" fontId="2" fillId="0" borderId="0" xfId="2" applyFont="1" applyFill="1" applyBorder="1" applyAlignment="1">
      <alignment wrapText="1"/>
    </xf>
    <xf numFmtId="44" fontId="6" fillId="0" borderId="0" xfId="1" applyFont="1"/>
    <xf numFmtId="44" fontId="0" fillId="0" borderId="0" xfId="1" applyFont="1"/>
    <xf numFmtId="0" fontId="4" fillId="0" borderId="0" xfId="2"/>
    <xf numFmtId="0" fontId="9" fillId="0" borderId="0" xfId="0" applyFont="1" applyAlignment="1">
      <alignment wrapText="1"/>
    </xf>
    <xf numFmtId="0" fontId="6" fillId="0" borderId="0" xfId="0" applyFont="1" applyAlignment="1">
      <alignment horizontal="left" wrapText="1"/>
    </xf>
    <xf numFmtId="0" fontId="9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44" fontId="6" fillId="0" borderId="0" xfId="0" applyNumberFormat="1" applyFont="1"/>
    <xf numFmtId="44" fontId="0" fillId="0" borderId="0" xfId="0" applyNumberFormat="1"/>
    <xf numFmtId="0" fontId="4" fillId="0" borderId="0" xfId="0" applyFont="1"/>
    <xf numFmtId="0" fontId="0" fillId="0" borderId="0" xfId="0" applyAlignment="1">
      <alignment horizontal="right"/>
    </xf>
    <xf numFmtId="0" fontId="7" fillId="0" borderId="0" xfId="0" applyFont="1" applyAlignment="1">
      <alignment horizontal="left" wrapText="1"/>
    </xf>
    <xf numFmtId="0" fontId="5" fillId="0" borderId="4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0" fillId="0" borderId="2" xfId="0" applyBorder="1"/>
    <xf numFmtId="0" fontId="6" fillId="0" borderId="2" xfId="0" applyFont="1" applyBorder="1"/>
    <xf numFmtId="8" fontId="6" fillId="0" borderId="2" xfId="0" applyNumberFormat="1" applyFont="1" applyBorder="1"/>
    <xf numFmtId="0" fontId="4" fillId="0" borderId="3" xfId="2" applyFill="1" applyBorder="1" applyAlignment="1">
      <alignment wrapText="1"/>
    </xf>
    <xf numFmtId="0" fontId="5" fillId="0" borderId="1" xfId="0" applyFont="1" applyBorder="1" applyAlignment="1">
      <alignment wrapText="1"/>
    </xf>
    <xf numFmtId="44" fontId="6" fillId="0" borderId="2" xfId="1" applyFont="1" applyFill="1" applyBorder="1"/>
    <xf numFmtId="44" fontId="6" fillId="0" borderId="0" xfId="1" applyFont="1" applyFill="1" applyBorder="1"/>
    <xf numFmtId="0" fontId="4" fillId="0" borderId="5" xfId="2" applyFill="1" applyBorder="1" applyAlignment="1">
      <alignment wrapText="1"/>
    </xf>
    <xf numFmtId="44" fontId="0" fillId="0" borderId="0" xfId="1" applyFont="1" applyFill="1"/>
    <xf numFmtId="0" fontId="6" fillId="0" borderId="2" xfId="0" applyFont="1" applyBorder="1" applyAlignment="1">
      <alignment horizontal="left" wrapText="1"/>
    </xf>
    <xf numFmtId="44" fontId="6" fillId="0" borderId="2" xfId="0" applyNumberFormat="1" applyFont="1" applyBorder="1"/>
    <xf numFmtId="44" fontId="3" fillId="0" borderId="0" xfId="1" applyFont="1"/>
    <xf numFmtId="44" fontId="3" fillId="0" borderId="0" xfId="0" applyNumberFormat="1" applyFont="1"/>
    <xf numFmtId="8" fontId="3" fillId="0" borderId="0" xfId="1" applyNumberFormat="1" applyFont="1"/>
  </cellXfs>
  <cellStyles count="3">
    <cellStyle name="Hyperlink" xfId="2" builtinId="8"/>
    <cellStyle name="Standaard" xfId="0" builtinId="0"/>
    <cellStyle name="Valuta" xfId="1" builtinId="4"/>
  </cellStyles>
  <dxfs count="50"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2" formatCode="&quot;€&quot;\ #,##0.00;[Red]&quot;€&quot;\ \-#,##0.00"/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theme="4" tint="0.79998168889431442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theme="4" tint="0.79998168889431442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none"/>
      </font>
      <fill>
        <patternFill patternType="none">
          <fgColor theme="4" tint="0.79998168889431442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/>
      </border>
    </dxf>
    <dxf>
      <border outline="0"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Aptos Narrow"/>
        <family val="2"/>
        <scheme val="minor"/>
      </font>
    </dxf>
    <dxf>
      <numFmt numFmtId="34" formatCode="_ &quot;€&quot;\ * #,##0.00_ ;_ &quot;€&quot;\ * \-#,##0.00_ ;_ &quot;€&quot;\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</font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23FFBF-C3CF-4982-ACE6-982FF59E3A0C}" name="Tabel3" displayName="Tabel3" ref="A2:K17" totalsRowShown="0">
  <autoFilter ref="A2:K17" xr:uid="{4623FFBF-C3CF-4982-ACE6-982FF59E3A0C}"/>
  <sortState xmlns:xlrd2="http://schemas.microsoft.com/office/spreadsheetml/2017/richdata2" ref="A3:K17">
    <sortCondition ref="J2:J17"/>
  </sortState>
  <tableColumns count="11">
    <tableColumn id="1" xr3:uid="{168A72FC-51CC-40F6-9037-D04471933D67}" name="Status" dataDxfId="49"/>
    <tableColumn id="2" xr3:uid="{E8029CDF-2059-4E37-9F72-7CFE90D68044}" name="Component" dataDxfId="48"/>
    <tableColumn id="3" xr3:uid="{0998ED9C-ED4A-4F3D-A280-29200441F677}" name="Omschrijving" dataDxfId="47"/>
    <tableColumn id="4" xr3:uid="{509516FE-9025-4A7B-B12A-CD3A21ED9F73}" name="Functie"/>
    <tableColumn id="5" xr3:uid="{177319F7-4C59-4BD8-BF06-F8E700DCF8D5}" name="Leverancier" dataDxfId="46"/>
    <tableColumn id="6" xr3:uid="{9256CA45-22D9-42A0-925A-048DB583CAC1}" name="Aantal per PCB" dataDxfId="45"/>
    <tableColumn id="7" xr3:uid="{7227307B-1703-4DC2-B8E3-7CC7B3C9C272}" name="Aantal Nodig" dataDxfId="44">
      <calculatedColumnFormula>Tabel3[[#This Row],[Aantal per PCB]]*Aantal_Basis_PCB_s</calculatedColumnFormula>
    </tableColumn>
    <tableColumn id="8" xr3:uid="{806648E7-C19F-47E3-AE6D-6B37C3E208FE}" name="Prijs/stuk" dataDxfId="43" dataCellStyle="Valuta"/>
    <tableColumn id="9" xr3:uid="{34ED758D-BE8E-4E49-A03F-2B17C6C8E257}" name="Verpakt per"/>
    <tableColumn id="10" xr3:uid="{5F8782B7-7ECA-49EF-8A5F-D0C694E2A1E3}" name="Prijs totaal" dataDxfId="42">
      <calculatedColumnFormula>H3*(ROUNDUP(G3/I3,0))*I3</calculatedColumnFormula>
    </tableColumn>
    <tableColumn id="11" xr3:uid="{E544DDA3-9523-44CC-8DBE-D5D64138101B}" name="Link" dataDxfId="41" dataCellStyle="Hyperlin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D7DB9B-2948-4EF3-BCF3-E7C818CE8492}" name="Tabel2" displayName="Tabel2" ref="A2:K25" totalsRowShown="0" headerRowDxfId="40">
  <autoFilter ref="A2:K25" xr:uid="{B5D7DB9B-2948-4EF3-BCF3-E7C818CE8492}"/>
  <sortState xmlns:xlrd2="http://schemas.microsoft.com/office/spreadsheetml/2017/richdata2" ref="A3:K25">
    <sortCondition ref="D2:D25"/>
  </sortState>
  <tableColumns count="11">
    <tableColumn id="1" xr3:uid="{372D4275-0471-4AFD-B2FB-5D9A1DD2D60A}" name="Status" dataDxfId="39"/>
    <tableColumn id="2" xr3:uid="{C0A8FB4D-E66B-4EE3-8407-25FBDDB8E914}" name="Component"/>
    <tableColumn id="3" xr3:uid="{8ABBFDEA-6A2C-4484-B723-BB57079A5FD3}" name="Omschrijving" dataDxfId="38"/>
    <tableColumn id="4" xr3:uid="{BEB125E1-83F6-437E-B0C5-AC033A83B2D1}" name="Functie" dataDxfId="37"/>
    <tableColumn id="5" xr3:uid="{3F1D3339-4070-475A-B28C-BF093B36F3C9}" name="Leverancier" dataDxfId="36"/>
    <tableColumn id="6" xr3:uid="{AA002D10-397A-4B88-AF15-AA7986DA8EE9}" name="Aantal per PCB" dataDxfId="35"/>
    <tableColumn id="7" xr3:uid="{CE6BD9D4-84CF-4B7A-8238-6E9A54233FA3}" name="Aantal Nodig" dataDxfId="34">
      <calculatedColumnFormula>F3*Aantal_PCB_s</calculatedColumnFormula>
    </tableColumn>
    <tableColumn id="8" xr3:uid="{C815959C-7C7F-4050-A353-1FBBD659ABA2}" name="Prijs/stuk" dataDxfId="33" dataCellStyle="Valuta"/>
    <tableColumn id="9" xr3:uid="{ADF0C42E-0BB2-4C29-A07D-E315AAD4D299}" name="Verpakt per"/>
    <tableColumn id="10" xr3:uid="{F80D0674-5F96-4996-96A1-40AD6BD90F90}" name="Prijs totaal" dataDxfId="32" dataCellStyle="Valuta">
      <calculatedColumnFormula>H3*(ROUNDUP(G3/I3,0))*I3</calculatedColumnFormula>
    </tableColumn>
    <tableColumn id="11" xr3:uid="{49AA84C2-E743-4D90-9B59-8DA858853001}" name="Link" dataCellStyle="Hyperlin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88D466-E18D-46CB-AEE0-9C6361D30634}" name="Tabel23" displayName="Tabel23" ref="A2:K15" totalsRowCount="1" headerRowDxfId="31">
  <autoFilter ref="A2:K14" xr:uid="{FE88D466-E18D-46CB-AEE0-9C6361D30634}"/>
  <sortState xmlns:xlrd2="http://schemas.microsoft.com/office/spreadsheetml/2017/richdata2" ref="A3:K14">
    <sortCondition ref="J2:J14"/>
  </sortState>
  <tableColumns count="11">
    <tableColumn id="1" xr3:uid="{488EC85A-9D87-4891-A74B-7D76B30E65EB}" name="Status" dataDxfId="30" totalsRowDxfId="29"/>
    <tableColumn id="2" xr3:uid="{A82BC62E-E834-40B9-BD74-02F1BBBCC68D}" name="Component"/>
    <tableColumn id="3" xr3:uid="{2A5EA675-0367-43CD-9D37-6358D964C39D}" name="Omschrijving" dataDxfId="28" totalsRowDxfId="27"/>
    <tableColumn id="4" xr3:uid="{E7A1B0AE-3A02-4AD2-A300-83F934D24542}" name="Functie" dataDxfId="26" totalsRowDxfId="25"/>
    <tableColumn id="5" xr3:uid="{5B3F7CBB-E0CF-4637-B340-69012DB8EED2}" name="Leverancier" dataDxfId="24" totalsRowDxfId="23"/>
    <tableColumn id="6" xr3:uid="{8F6567E9-89EC-4CCD-AFA5-4BC205A5D723}" name="Aantal per PCB" dataDxfId="22" totalsRowDxfId="21"/>
    <tableColumn id="7" xr3:uid="{4D930F5D-6FFC-4930-9806-DE4B0B8201E5}" name="Aantal Nodig" dataDxfId="20" totalsRowDxfId="19">
      <calculatedColumnFormula>SUM(Tabel23[[#This Row],[Aantal per PCB]]*Aantal_Display_knop_PCB_s)</calculatedColumnFormula>
    </tableColumn>
    <tableColumn id="8" xr3:uid="{5CE7AF07-0B39-473B-BD71-4E13D0ADDC2F}" name="Prijs/stuk" dataDxfId="18" totalsRowDxfId="17" dataCellStyle="Valuta"/>
    <tableColumn id="9" xr3:uid="{10BEBC9B-3FDE-4E28-883F-1C93801D2743}" name="Verpakt per"/>
    <tableColumn id="10" xr3:uid="{C4A38923-2BC4-4CC3-B155-90BAE02809A1}" name="Prijs totaal" totalsRowFunction="sum" dataDxfId="16" totalsRowDxfId="15" dataCellStyle="Valuta">
      <calculatedColumnFormula>H3*(ROUNDUP(G3/I3,0))*I3</calculatedColumnFormula>
    </tableColumn>
    <tableColumn id="11" xr3:uid="{EC3E13ED-754D-4102-80F9-3041C365B671}" name="Link" totalsRowDxfId="14" dataCellStyle="Hyperlin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C77F5EB-21CA-442C-8DDD-61079284FE7A}" name="Tabel4" displayName="Tabel4" ref="A2:K14" totalsRowShown="0" headerRowDxfId="13" dataDxfId="12" tableBorderDxfId="11">
  <autoFilter ref="A2:K14" xr:uid="{4C77F5EB-21CA-442C-8DDD-61079284FE7A}"/>
  <tableColumns count="11">
    <tableColumn id="1" xr3:uid="{9EC025C1-0153-47DA-A8CA-4BEC2FA722F2}" name="Status" dataDxfId="10"/>
    <tableColumn id="2" xr3:uid="{58032526-7587-4814-96A7-93A68133F713}" name="Component" dataDxfId="9"/>
    <tableColumn id="3" xr3:uid="{D062C24D-AACC-41A0-AF4C-F91F42F74DF3}" name="Omschrijving" dataDxfId="8"/>
    <tableColumn id="4" xr3:uid="{18E1EC29-A73E-46CB-B84B-0B2698510F54}" name="Functie" dataDxfId="7"/>
    <tableColumn id="5" xr3:uid="{AB58C642-872F-4004-8307-3780606353FC}" name="Leverancier" dataDxfId="6"/>
    <tableColumn id="6" xr3:uid="{64DC7CAF-73D2-427B-B9DB-D9BDF960B31F}" name="Aantal per Spraaktrainer" dataDxfId="5"/>
    <tableColumn id="7" xr3:uid="{003B4251-B13C-4939-871E-A64EAE0B045A}" name="Aantal Nodig" dataDxfId="4">
      <calculatedColumnFormula>Tabel4[[#This Row],[Aantal per Spraaktrainer]]*Aantal_Spraaktrainers</calculatedColumnFormula>
    </tableColumn>
    <tableColumn id="8" xr3:uid="{5F27580C-471F-477E-99AE-CB5568B0BDF7}" name="Prijs/stuk" dataDxfId="3" dataCellStyle="Valuta"/>
    <tableColumn id="9" xr3:uid="{1ECF244B-5424-4D51-B566-DA851A393E09}" name="Verpakt per" dataDxfId="2"/>
    <tableColumn id="10" xr3:uid="{68956493-F94D-4172-A24E-56B407BA2F0D}" name="Prijs totaal" dataDxfId="1">
      <calculatedColumnFormula>H3*(ROUNDUP(G3/I3,0))*I3</calculatedColumnFormula>
    </tableColumn>
    <tableColumn id="11" xr3:uid="{B0862393-E346-45BD-9AA9-522F9E3D03A8}" name="Link" dataDxfId="0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l.mouser.com/ProductDetail/Phoenix-Contact/1778609?qs=i0qWf6NAoDs20gR%2FeqsYbg%3D%3D" TargetMode="External"/><Relationship Id="rId13" Type="http://schemas.openxmlformats.org/officeDocument/2006/relationships/hyperlink" Target="https://nl.mouser.com/ProductDetail/YAGEO/AC1206FR-070RL?qs=sGAEpiMZZMvdGkrng054t7z4BkURc4LzP9wTr95oZm9uXjBjNgMIBQ%3D%3D" TargetMode="External"/><Relationship Id="rId3" Type="http://schemas.openxmlformats.org/officeDocument/2006/relationships/hyperlink" Target="https://nl.mouser.com/ProductDetail/TE-Connectivity-Holsworthy/CRG1206F4K7-10?qs=sGAEpiMZZMtlubZbdhIBIPa2k8RrYDlhEX1WVBdkuwA%3D" TargetMode="External"/><Relationship Id="rId7" Type="http://schemas.openxmlformats.org/officeDocument/2006/relationships/hyperlink" Target="https://nl.mouser.com/ProductDetail/STMicroelectronics/USBLC6-2P6?qs=6ARB0lp6jlViGcbUSvj1Mw%3D%3D" TargetMode="External"/><Relationship Id="rId12" Type="http://schemas.openxmlformats.org/officeDocument/2006/relationships/hyperlink" Target="https://nl.mouser.com/ProductDetail/GCT/USB4105-GF-A-120?qs=QNEnbhJQKva%252Bjxw%2FpEjDhQ%3D%3D" TargetMode="External"/><Relationship Id="rId2" Type="http://schemas.openxmlformats.org/officeDocument/2006/relationships/hyperlink" Target="https://nl.mouser.com/ProductDetail/KYOCERA-AVX/KAM31GR72A105KU?qs=sGAEpiMZZMsh%252B1woXyUXj17cMikWvs6%2FTDSyDYm8N9A%3D" TargetMode="External"/><Relationship Id="rId16" Type="http://schemas.openxmlformats.org/officeDocument/2006/relationships/table" Target="../tables/table1.xml"/><Relationship Id="rId1" Type="http://schemas.openxmlformats.org/officeDocument/2006/relationships/hyperlink" Target="https://nl.mouser.com/ProductDetail/Vishay-Vitramon/VJ1206Y104JXAAT?qs=sGAEpiMZZMsh%252B1woXyUXj9o5Ladf8Lc6hn%252BPTWnYRfg%3D" TargetMode="External"/><Relationship Id="rId6" Type="http://schemas.openxmlformats.org/officeDocument/2006/relationships/hyperlink" Target="https://nl.mouser.com/ProductDetail/Espressif-Systems/ESP32-S3-WROOM-1-N16R8?qs=sGAEpiMZZMu3sxpa5v1qrkR%2F6t0IkXq81YLrKdmkb4Q%3D" TargetMode="External"/><Relationship Id="rId11" Type="http://schemas.openxmlformats.org/officeDocument/2006/relationships/hyperlink" Target="https://nl.mouser.com/ProductDetail/Phoenix-Contact/1778793?qs=sGAEpiMZZMvPvGwLNS67135qURYkq3ss7cxTYyf9LKc%3D" TargetMode="External"/><Relationship Id="rId5" Type="http://schemas.openxmlformats.org/officeDocument/2006/relationships/hyperlink" Target="https://nl.mouser.com/ProductDetail/TE-Connectivity-Holsworthy/CRGH1206F22K?qs=sGAEpiMZZMtlubZbdhIBIGLlr6zM66%2FaKRJSA750pM4%3D" TargetMode="External"/><Relationship Id="rId15" Type="http://schemas.openxmlformats.org/officeDocument/2006/relationships/hyperlink" Target="https://nl.mouser.com/ProductDetail/SEI-Stackpole/RMCF1206JT5K10?qs=sGAEpiMZZMvdGkrng054tyMPH50YnZ95RycLOXM5yYjF6csMxWmZOw%3D%3D" TargetMode="External"/><Relationship Id="rId10" Type="http://schemas.openxmlformats.org/officeDocument/2006/relationships/hyperlink" Target="https://nl.mouser.com/ProductDetail/Phoenix-Contact/1808239?qs=sGAEpiMZZMvPvGwLNS671y19%252B%2FPPI9uepj0elGsKWY32q9OBHL93nA%3D%3D" TargetMode="External"/><Relationship Id="rId4" Type="http://schemas.openxmlformats.org/officeDocument/2006/relationships/hyperlink" Target="https://nl.mouser.com/ProductDetail/YAGEO/RC1206JR-1310KL?qs=sGAEpiMZZMtlubZbdhIBIItyFMA%252B5zWOjsJPeae2na8%3D" TargetMode="External"/><Relationship Id="rId9" Type="http://schemas.openxmlformats.org/officeDocument/2006/relationships/hyperlink" Target="https://nl.mouser.com/ProductDetail/Phoenix-Contact/1778612?qs=i0qWf6NAoDsKv%2FatecV0wA%3D%3D" TargetMode="External"/><Relationship Id="rId14" Type="http://schemas.openxmlformats.org/officeDocument/2006/relationships/hyperlink" Target="https://nl.mouser.com/ProductDetail/CK/KSR232G-LFS?qs=ljbEvF4DwONacdpFgAfrOw%3D%3D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nl.farnell.com/diodes-inc/1n5819hw-7-f/diode-scky-recti-1a-40v-sod123/dp/1773475" TargetMode="External"/><Relationship Id="rId13" Type="http://schemas.openxmlformats.org/officeDocument/2006/relationships/hyperlink" Target="https://nl.farnell.com/vishay/crcw060310k0fkea/res-10k-1-0-1w-0603-thick-film/dp/1469748" TargetMode="External"/><Relationship Id="rId18" Type="http://schemas.openxmlformats.org/officeDocument/2006/relationships/hyperlink" Target="https://nl.mouser.com/ProductDetail/Phoenix-Contact/1808239?qs=sGAEpiMZZMvPvGwLNS671y19%252B%2FPPI9uepj0elGsKWY32q9OBHL93nA%3D%3D" TargetMode="External"/><Relationship Id="rId3" Type="http://schemas.openxmlformats.org/officeDocument/2006/relationships/hyperlink" Target="https://nl.farnell.com/microchip/mcp73832t-2aci-ot/li-ion-li-poly-charge-controller/dp/1332159" TargetMode="External"/><Relationship Id="rId21" Type="http://schemas.openxmlformats.org/officeDocument/2006/relationships/hyperlink" Target="https://nl.farnell.com/qt-brightek/qblp595-o5/led-orange-30mcd-605nm-140deg/dp/4676959" TargetMode="External"/><Relationship Id="rId7" Type="http://schemas.openxmlformats.org/officeDocument/2006/relationships/hyperlink" Target="https://nl.farnell.com/vishay/crcw04022k00fkedc/res-2k-1-0-063w-0402-thick-film/dp/4177454" TargetMode="External"/><Relationship Id="rId12" Type="http://schemas.openxmlformats.org/officeDocument/2006/relationships/hyperlink" Target="https://nl.farnell.com/multicomp-pro/mcwr06x1871ftl/res-1k87-1-0-1w-0603-thick-film/dp/2694757" TargetMode="External"/><Relationship Id="rId17" Type="http://schemas.openxmlformats.org/officeDocument/2006/relationships/hyperlink" Target="https://nl.farnell.com/microchip/mcp3021a2t-e-ot/adc-sar-10bit-22-3ksps-125deg/dp/3796961" TargetMode="External"/><Relationship Id="rId2" Type="http://schemas.openxmlformats.org/officeDocument/2006/relationships/hyperlink" Target="https://nl.farnell.com/murata/lqh32cn4r7m33l/inductor-4-7uh-shielded-0-65a/dp/9522190" TargetMode="External"/><Relationship Id="rId16" Type="http://schemas.openxmlformats.org/officeDocument/2006/relationships/hyperlink" Target="https://nl.farnell.com/nxp/pca6408apw-118/i-o-expander-8bit-400khz-tssop/dp/2776179" TargetMode="External"/><Relationship Id="rId20" Type="http://schemas.openxmlformats.org/officeDocument/2006/relationships/hyperlink" Target="https://nl.farnell.com/multicomp-pro/mptsm-31n-v/tactile-switch-0-05a-12vdc-smd/dp/4153524" TargetMode="External"/><Relationship Id="rId1" Type="http://schemas.openxmlformats.org/officeDocument/2006/relationships/hyperlink" Target="https://nl.farnell.com/nexperia/nca9306dph/volt-lvl-translator-40-to-125deg/dp/3585594" TargetMode="External"/><Relationship Id="rId6" Type="http://schemas.openxmlformats.org/officeDocument/2006/relationships/hyperlink" Target="https://nl.farnell.com/panasonic/erj2rkf6340x/res-634r-1-0-1w-0402-thick-film/dp/2302616" TargetMode="External"/><Relationship Id="rId11" Type="http://schemas.openxmlformats.org/officeDocument/2006/relationships/hyperlink" Target="https://nl.farnell.com/multicomp-pro/mcwr06x5621ftl/res-5k62-1-0-1w-thick-film/dp/2447406" TargetMode="External"/><Relationship Id="rId24" Type="http://schemas.openxmlformats.org/officeDocument/2006/relationships/table" Target="../tables/table2.xml"/><Relationship Id="rId5" Type="http://schemas.openxmlformats.org/officeDocument/2006/relationships/hyperlink" Target="https://nl.farnell.com/qt-brightek/qblp595-o5/led-orange-30mcd-605nm-140deg/dp/4676959" TargetMode="External"/><Relationship Id="rId15" Type="http://schemas.openxmlformats.org/officeDocument/2006/relationships/hyperlink" Target="https://nl.farnell.com/microchip/mic5504-3-3ym5-tr/ldo-fixed-3-3v-0-3a-40-to-125/dp/2510377" TargetMode="External"/><Relationship Id="rId23" Type="http://schemas.openxmlformats.org/officeDocument/2006/relationships/hyperlink" Target="https://nl.mouser.com/ProductDetail/JST-Commercial/B2B-PH-K-SLFSN?qs=cdbOS8ANM9AlozzPlOt72g%3D%3D" TargetMode="External"/><Relationship Id="rId10" Type="http://schemas.openxmlformats.org/officeDocument/2006/relationships/hyperlink" Target="https://nl.farnell.com/microchip/mic2288yd5-tr/switching-regulator-boost-sot/dp/2509929" TargetMode="External"/><Relationship Id="rId19" Type="http://schemas.openxmlformats.org/officeDocument/2006/relationships/hyperlink" Target="https://nl.farnell.com/vishay/crcw060310k0fkea/res-10k-1-0-1w-0603-thick-film/dp/1469748" TargetMode="External"/><Relationship Id="rId4" Type="http://schemas.openxmlformats.org/officeDocument/2006/relationships/hyperlink" Target="https://nl.farnell.com/kemet/c1206c475k9ractu/cap-4-7-f-6-3v-10-x7r-1206/dp/2819801" TargetMode="External"/><Relationship Id="rId9" Type="http://schemas.openxmlformats.org/officeDocument/2006/relationships/hyperlink" Target="https://nl.farnell.com/yageo/cc0805kkx6s5bb106/cap-10uf-6-3v-mlcc-0805/dp/3873497" TargetMode="External"/><Relationship Id="rId14" Type="http://schemas.openxmlformats.org/officeDocument/2006/relationships/hyperlink" Target="https://nl.farnell.com/yageo/cc0402krx5r6bb105/cap-1-f-10v-10-x5r-0402/dp/1458896" TargetMode="External"/><Relationship Id="rId22" Type="http://schemas.openxmlformats.org/officeDocument/2006/relationships/hyperlink" Target="https://nl.farnell.com/panasonic/erj2rkf6340x/res-634r-1-0-1w-0402-thick-film/dp/2302616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nl.mouser.com/ProductDetail/JST-Commercial/B9B-XH-ALFSN?qs=cdbOS8ANM9DfzNXTywKQ5A%3D%3D" TargetMode="External"/><Relationship Id="rId13" Type="http://schemas.openxmlformats.org/officeDocument/2006/relationships/table" Target="../tables/table3.xml"/><Relationship Id="rId3" Type="http://schemas.openxmlformats.org/officeDocument/2006/relationships/hyperlink" Target="https://nl.mouser.com/ProductDetail/TE-Connectivity-Holsworthy/CRG1206F4K7-10?qs=sGAEpiMZZMtlubZbdhIBIPa2k8RrYDlhEX1WVBdkuwA%3D" TargetMode="External"/><Relationship Id="rId7" Type="http://schemas.openxmlformats.org/officeDocument/2006/relationships/hyperlink" Target="https://nl.mouser.com/ProductDetail/GCT/USB4105-GF-A-120?qs=QNEnbhJQKva%252Bjxw%2FpEjDhQ%3D%3D" TargetMode="External"/><Relationship Id="rId12" Type="http://schemas.openxmlformats.org/officeDocument/2006/relationships/hyperlink" Target="https://nl.mouser.com/ProductDetail/YAGEO/AC1206FR-070RL?qs=sGAEpiMZZMvdGkrng054t7z4BkURc4LzP9wTr95oZm9uXjBjNgMIBQ%3D%3D" TargetMode="External"/><Relationship Id="rId2" Type="http://schemas.openxmlformats.org/officeDocument/2006/relationships/hyperlink" Target="https://nl.mouser.com/ProductDetail/KYOCERA-AVX/KAM31GR72A105KU?qs=sGAEpiMZZMsh%252B1woXyUXj17cMikWvs6%2FTDSyDYm8N9A%3D" TargetMode="External"/><Relationship Id="rId1" Type="http://schemas.openxmlformats.org/officeDocument/2006/relationships/hyperlink" Target="https://nl.mouser.com/ProductDetail/Vishay-Vitramon/VJ1206Y104JXAAT?qs=sGAEpiMZZMsh%252B1woXyUXj9o5Ladf8Lc6hn%252BPTWnYRfg%3D" TargetMode="External"/><Relationship Id="rId6" Type="http://schemas.openxmlformats.org/officeDocument/2006/relationships/hyperlink" Target="https://nl.mouser.com/ProductDetail/STMicroelectronics/USBLC6-2P6?qs=6ARB0lp6jlViGcbUSvj1Mw%3D%3D" TargetMode="External"/><Relationship Id="rId11" Type="http://schemas.openxmlformats.org/officeDocument/2006/relationships/hyperlink" Target="https://nl.mouser.com/ProductDetail/CK/KSR232G-LFS?qs=ljbEvF4DwONacdpFgAfrOw%3D%3D" TargetMode="External"/><Relationship Id="rId5" Type="http://schemas.openxmlformats.org/officeDocument/2006/relationships/hyperlink" Target="https://nl.mouser.com/ProductDetail/Espressif-Systems/ESP32-S3-WROOM-1-N16R8?qs=sGAEpiMZZMu3sxpa5v1qrkR%2F6t0IkXq81YLrKdmkb4Q%3D" TargetMode="External"/><Relationship Id="rId10" Type="http://schemas.openxmlformats.org/officeDocument/2006/relationships/hyperlink" Target="https://nl.mouser.com/ProductDetail/YAGEO/RT1206FRE075K1L?qs=RtU67MWp17DplirmSiMQVw%3D%3D" TargetMode="External"/><Relationship Id="rId4" Type="http://schemas.openxmlformats.org/officeDocument/2006/relationships/hyperlink" Target="https://nl.mouser.com/ProductDetail/YAGEO/RC1206JR-1310KL?qs=sGAEpiMZZMtlubZbdhIBIItyFMA%252B5zWOjsJPeae2na8%3D" TargetMode="External"/><Relationship Id="rId9" Type="http://schemas.openxmlformats.org/officeDocument/2006/relationships/hyperlink" Target="https://nl.mouser.com/ProductDetail/Phoenix-Contact/1814948?qs=eTPcRhULBzxggS8GURKAhQ%3D%3D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inytronics.nl/en/audio/audio-sources/dfrobot-fermion-dfplayer-pro-mp3-player-module" TargetMode="External"/><Relationship Id="rId13" Type="http://schemas.openxmlformats.org/officeDocument/2006/relationships/table" Target="../tables/table4.xml"/><Relationship Id="rId3" Type="http://schemas.openxmlformats.org/officeDocument/2006/relationships/hyperlink" Target="https://nl.mouser.com/ProductDetail/Phoenix-Contact/1778890?qs=i0qWf6NAoDsV8Bc%252BXGoVBA%3D%3D" TargetMode="External"/><Relationship Id="rId7" Type="http://schemas.openxmlformats.org/officeDocument/2006/relationships/hyperlink" Target="https://www.tinytronics.nl/nl/sensoren/geluid/inmp441-mems-microfoon-i2s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nl.mouser.com/ProductDetail/Phoenix-Contact/1778874?qs=i0qWf6NAoDtRUs6DbGt0FA%3D%3D" TargetMode="External"/><Relationship Id="rId1" Type="http://schemas.openxmlformats.org/officeDocument/2006/relationships/hyperlink" Target="https://nl.mouser.com/ProductDetail/Phoenix-Contact/1778887?qs=i0qWf6NAoDsv3Wj83LgZQA%3D%3D" TargetMode="External"/><Relationship Id="rId6" Type="http://schemas.openxmlformats.org/officeDocument/2006/relationships/hyperlink" Target="https://www.tinytronics.nl/nl/displays/tft/4-inch-tft-display-320*480-pixels-met-touchscreen-spi-ili9488?sort=p.price&amp;order=ASC" TargetMode="External"/><Relationship Id="rId11" Type="http://schemas.openxmlformats.org/officeDocument/2006/relationships/hyperlink" Target="https://nl.mouser.com/ProductDetail/JST-Commercial/SXH-001T-P0.6?qs=QpmGXVUTftHVe8yFBLIwfA%3D%3D" TargetMode="External"/><Relationship Id="rId5" Type="http://schemas.openxmlformats.org/officeDocument/2006/relationships/hyperlink" Target="https://www.tinytronics.nl/nl/displays/tft/1.44-inch-tft-display-128*128-pixels-spi-st7735s-3.3v?sort=p.price&amp;order=ASC" TargetMode="External"/><Relationship Id="rId10" Type="http://schemas.openxmlformats.org/officeDocument/2006/relationships/hyperlink" Target="https://nl.mouser.com/ProductDetail/JST-Commercial/XHP-9?qs=QpmGXVUTftHM%2FmHT1mOcYA%3D%3D" TargetMode="External"/><Relationship Id="rId4" Type="http://schemas.openxmlformats.org/officeDocument/2006/relationships/hyperlink" Target="https://nl.mouser.com/ProductDetail/Phoenix-Contact/1778887?qs=i0qWf6NAoDsv3Wj83LgZQA%3D%3D" TargetMode="External"/><Relationship Id="rId9" Type="http://schemas.openxmlformats.org/officeDocument/2006/relationships/hyperlink" Target="https://www.tinytronics.nl/nl/power/batterijen/li-po/pkcell-li-po-batterij-3.7v-1200mah-jst-ph-lp5035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zoomScale="85" zoomScaleNormal="85" workbookViewId="0"/>
  </sheetViews>
  <sheetFormatPr defaultRowHeight="14.4" x14ac:dyDescent="0.3"/>
  <cols>
    <col min="1" max="1" width="10.21875" bestFit="1" customWidth="1"/>
    <col min="2" max="2" width="26.33203125" customWidth="1"/>
    <col min="3" max="3" width="71.109375" bestFit="1" customWidth="1"/>
    <col min="4" max="4" width="17.5546875" bestFit="1" customWidth="1"/>
    <col min="5" max="5" width="14.21875" bestFit="1" customWidth="1"/>
    <col min="6" max="6" width="16.6640625" bestFit="1" customWidth="1"/>
    <col min="7" max="7" width="14.88671875" bestFit="1" customWidth="1"/>
    <col min="8" max="8" width="12.33203125" bestFit="1" customWidth="1"/>
    <col min="9" max="9" width="13.21875" customWidth="1"/>
    <col min="10" max="10" width="13.109375" customWidth="1"/>
    <col min="11" max="11" width="136.44140625" bestFit="1" customWidth="1"/>
  </cols>
  <sheetData>
    <row r="1" spans="1:11" x14ac:dyDescent="0.3">
      <c r="A1" s="24" t="s">
        <v>128</v>
      </c>
      <c r="B1" s="6" t="s">
        <v>129</v>
      </c>
      <c r="C1" s="24" t="s">
        <v>25</v>
      </c>
      <c r="D1" s="7">
        <v>1</v>
      </c>
    </row>
    <row r="2" spans="1:11" x14ac:dyDescent="0.3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</row>
    <row r="3" spans="1:11" x14ac:dyDescent="0.3">
      <c r="A3" s="1" t="s">
        <v>37</v>
      </c>
      <c r="B3" s="18" t="s">
        <v>122</v>
      </c>
      <c r="C3" s="2" t="s">
        <v>139</v>
      </c>
      <c r="D3" t="s">
        <v>132</v>
      </c>
      <c r="E3" s="3" t="s">
        <v>0</v>
      </c>
      <c r="F3" s="3">
        <v>1</v>
      </c>
      <c r="G3" s="3">
        <f>Tabel3[[#This Row],[Aantal per PCB]]*Aantal_Basis_PCB_s</f>
        <v>1</v>
      </c>
      <c r="H3" s="14">
        <v>9.5000000000000001E-2</v>
      </c>
      <c r="I3">
        <v>1</v>
      </c>
      <c r="J3" s="21">
        <f t="shared" ref="J3:J17" si="0">H3*(ROUNDUP(G3/I3,0))*I3</f>
        <v>9.5000000000000001E-2</v>
      </c>
      <c r="K3" s="4" t="s">
        <v>4</v>
      </c>
    </row>
    <row r="4" spans="1:11" x14ac:dyDescent="0.3">
      <c r="A4" s="1" t="s">
        <v>37</v>
      </c>
      <c r="B4" s="2" t="s">
        <v>127</v>
      </c>
      <c r="C4" s="3" t="s">
        <v>141</v>
      </c>
      <c r="D4" t="s">
        <v>132</v>
      </c>
      <c r="E4" s="3" t="s">
        <v>0</v>
      </c>
      <c r="F4" s="3">
        <v>2</v>
      </c>
      <c r="G4" s="3">
        <f>Tabel3[[#This Row],[Aantal per PCB]]*Aantal_Basis_PCB_s</f>
        <v>2</v>
      </c>
      <c r="H4" s="14">
        <v>9.5000000000000001E-2</v>
      </c>
      <c r="I4">
        <v>1</v>
      </c>
      <c r="J4" s="21">
        <f t="shared" si="0"/>
        <v>0.19</v>
      </c>
      <c r="K4" s="16" t="s">
        <v>126</v>
      </c>
    </row>
    <row r="5" spans="1:11" x14ac:dyDescent="0.3">
      <c r="A5" s="1" t="s">
        <v>37</v>
      </c>
      <c r="B5" s="18" t="s">
        <v>133</v>
      </c>
      <c r="C5" s="2" t="s">
        <v>140</v>
      </c>
      <c r="D5" t="s">
        <v>132</v>
      </c>
      <c r="E5" s="3" t="s">
        <v>0</v>
      </c>
      <c r="F5" s="3">
        <v>3</v>
      </c>
      <c r="G5" s="3">
        <f>Tabel3[[#This Row],[Aantal per PCB]]*Aantal_Basis_PCB_s</f>
        <v>3</v>
      </c>
      <c r="H5" s="14">
        <v>9.5000000000000001E-2</v>
      </c>
      <c r="I5">
        <v>1</v>
      </c>
      <c r="J5" s="21">
        <f t="shared" si="0"/>
        <v>0.28500000000000003</v>
      </c>
      <c r="K5" s="4" t="s">
        <v>5</v>
      </c>
    </row>
    <row r="6" spans="1:11" x14ac:dyDescent="0.3">
      <c r="A6" s="1" t="s">
        <v>37</v>
      </c>
      <c r="B6" s="18" t="s">
        <v>156</v>
      </c>
      <c r="C6" s="2" t="s">
        <v>138</v>
      </c>
      <c r="D6" t="s">
        <v>132</v>
      </c>
      <c r="E6" s="3" t="s">
        <v>0</v>
      </c>
      <c r="F6" s="3">
        <v>3</v>
      </c>
      <c r="G6" s="3">
        <f>Tabel3[[#This Row],[Aantal per PCB]]*Aantal_Basis_PCB_s</f>
        <v>3</v>
      </c>
      <c r="H6" s="14">
        <v>9.5000000000000001E-2</v>
      </c>
      <c r="I6">
        <v>1</v>
      </c>
      <c r="J6" s="21">
        <f t="shared" si="0"/>
        <v>0.28500000000000003</v>
      </c>
      <c r="K6" s="16" t="s">
        <v>155</v>
      </c>
    </row>
    <row r="7" spans="1:11" x14ac:dyDescent="0.3">
      <c r="A7" s="1" t="s">
        <v>37</v>
      </c>
      <c r="B7" s="18" t="s">
        <v>121</v>
      </c>
      <c r="C7" s="2" t="s">
        <v>8</v>
      </c>
      <c r="D7" t="s">
        <v>132</v>
      </c>
      <c r="E7" s="3" t="s">
        <v>0</v>
      </c>
      <c r="F7" s="3">
        <v>1</v>
      </c>
      <c r="G7" s="3">
        <f>Tabel3[[#This Row],[Aantal per PCB]]*Aantal_Basis_PCB_s</f>
        <v>1</v>
      </c>
      <c r="H7" s="14">
        <v>0.41799999999999998</v>
      </c>
      <c r="I7">
        <v>1</v>
      </c>
      <c r="J7" s="21">
        <f t="shared" si="0"/>
        <v>0.41799999999999998</v>
      </c>
      <c r="K7" s="4" t="s">
        <v>9</v>
      </c>
    </row>
    <row r="8" spans="1:11" x14ac:dyDescent="0.3">
      <c r="A8" s="1" t="s">
        <v>37</v>
      </c>
      <c r="B8" s="18" t="s">
        <v>119</v>
      </c>
      <c r="C8" s="2" t="s">
        <v>137</v>
      </c>
      <c r="D8" t="s">
        <v>132</v>
      </c>
      <c r="E8" s="3" t="s">
        <v>0</v>
      </c>
      <c r="F8" s="3">
        <v>4</v>
      </c>
      <c r="G8" s="3">
        <f>Tabel3[[#This Row],[Aantal per PCB]]*Aantal_Basis_PCB_s</f>
        <v>4</v>
      </c>
      <c r="H8" s="14">
        <v>0.124</v>
      </c>
      <c r="I8">
        <v>1</v>
      </c>
      <c r="J8" s="21">
        <f t="shared" si="0"/>
        <v>0.496</v>
      </c>
      <c r="K8" s="4" t="s">
        <v>3</v>
      </c>
    </row>
    <row r="9" spans="1:11" x14ac:dyDescent="0.3">
      <c r="A9" s="1" t="s">
        <v>37</v>
      </c>
      <c r="B9" s="18" t="s">
        <v>118</v>
      </c>
      <c r="C9" s="2" t="s">
        <v>157</v>
      </c>
      <c r="D9" t="s">
        <v>132</v>
      </c>
      <c r="E9" s="3" t="s">
        <v>0</v>
      </c>
      <c r="F9" s="3">
        <v>1</v>
      </c>
      <c r="G9" s="3">
        <f>Tabel3[[#This Row],[Aantal per PCB]]*Aantal_Basis_PCB_s</f>
        <v>1</v>
      </c>
      <c r="H9" s="14">
        <v>0.74099999999999999</v>
      </c>
      <c r="I9">
        <v>1</v>
      </c>
      <c r="J9" s="21">
        <f t="shared" si="0"/>
        <v>0.74099999999999999</v>
      </c>
      <c r="K9" s="4" t="s">
        <v>18</v>
      </c>
    </row>
    <row r="10" spans="1:11" x14ac:dyDescent="0.3">
      <c r="A10" s="1" t="s">
        <v>37</v>
      </c>
      <c r="B10" s="18" t="s">
        <v>116</v>
      </c>
      <c r="C10" s="2" t="s">
        <v>135</v>
      </c>
      <c r="D10" t="s">
        <v>132</v>
      </c>
      <c r="E10" s="3" t="s">
        <v>0</v>
      </c>
      <c r="F10" s="3">
        <v>2</v>
      </c>
      <c r="G10" s="3">
        <f>Tabel3[[#This Row],[Aantal per PCB]]*Aantal_Basis_PCB_s</f>
        <v>2</v>
      </c>
      <c r="H10" s="14">
        <v>0.504</v>
      </c>
      <c r="I10">
        <v>1</v>
      </c>
      <c r="J10" s="21">
        <f t="shared" si="0"/>
        <v>1.008</v>
      </c>
      <c r="K10" s="4" t="s">
        <v>1</v>
      </c>
    </row>
    <row r="11" spans="1:11" x14ac:dyDescent="0.3">
      <c r="A11" s="1" t="s">
        <v>37</v>
      </c>
      <c r="B11" s="18" t="s">
        <v>117</v>
      </c>
      <c r="C11" s="2" t="s">
        <v>136</v>
      </c>
      <c r="D11" t="s">
        <v>132</v>
      </c>
      <c r="E11" s="3" t="s">
        <v>0</v>
      </c>
      <c r="F11" s="3">
        <v>2</v>
      </c>
      <c r="G11" s="3">
        <f>Tabel3[[#This Row],[Aantal per PCB]]*Aantal_Basis_PCB_s</f>
        <v>2</v>
      </c>
      <c r="H11" s="14">
        <v>0.58899999999999997</v>
      </c>
      <c r="I11">
        <v>1</v>
      </c>
      <c r="J11" s="21">
        <f t="shared" si="0"/>
        <v>1.1779999999999999</v>
      </c>
      <c r="K11" s="4" t="s">
        <v>2</v>
      </c>
    </row>
    <row r="12" spans="1:11" x14ac:dyDescent="0.3">
      <c r="A12" s="1" t="s">
        <v>37</v>
      </c>
      <c r="B12" s="18" t="s">
        <v>134</v>
      </c>
      <c r="C12" s="2" t="s">
        <v>142</v>
      </c>
      <c r="D12" t="s">
        <v>132</v>
      </c>
      <c r="E12" s="3" t="s">
        <v>0</v>
      </c>
      <c r="F12" s="3">
        <v>2</v>
      </c>
      <c r="G12" s="3">
        <f>Tabel3[[#This Row],[Aantal per PCB]]*Aantal_Basis_PCB_s</f>
        <v>2</v>
      </c>
      <c r="H12" s="14">
        <v>0.71299999999999997</v>
      </c>
      <c r="I12">
        <v>1</v>
      </c>
      <c r="J12" s="21">
        <f t="shared" si="0"/>
        <v>1.4259999999999999</v>
      </c>
      <c r="K12" s="16" t="s">
        <v>143</v>
      </c>
    </row>
    <row r="13" spans="1:11" x14ac:dyDescent="0.3">
      <c r="A13" s="1" t="s">
        <v>37</v>
      </c>
      <c r="B13" s="25">
        <v>1808239</v>
      </c>
      <c r="C13" s="5" t="s">
        <v>14</v>
      </c>
      <c r="D13" t="s">
        <v>132</v>
      </c>
      <c r="E13" s="3" t="s">
        <v>0</v>
      </c>
      <c r="F13" s="3">
        <v>1</v>
      </c>
      <c r="G13" s="3">
        <f>Tabel3[[#This Row],[Aantal per PCB]]*Aantal_Basis_PCB_s</f>
        <v>1</v>
      </c>
      <c r="H13" s="14">
        <v>1.77</v>
      </c>
      <c r="I13">
        <v>1</v>
      </c>
      <c r="J13" s="21">
        <f t="shared" si="0"/>
        <v>1.77</v>
      </c>
      <c r="K13" s="4" t="s">
        <v>15</v>
      </c>
    </row>
    <row r="14" spans="1:11" x14ac:dyDescent="0.3">
      <c r="A14" s="1" t="s">
        <v>37</v>
      </c>
      <c r="B14" s="25">
        <v>1778793</v>
      </c>
      <c r="C14" s="5" t="s">
        <v>16</v>
      </c>
      <c r="D14" t="s">
        <v>132</v>
      </c>
      <c r="E14" s="3" t="s">
        <v>0</v>
      </c>
      <c r="F14" s="3">
        <v>2</v>
      </c>
      <c r="G14" s="3">
        <f>Tabel3[[#This Row],[Aantal per PCB]]*Aantal_Basis_PCB_s</f>
        <v>2</v>
      </c>
      <c r="H14" s="14">
        <v>1.58</v>
      </c>
      <c r="I14">
        <v>1</v>
      </c>
      <c r="J14" s="21">
        <f t="shared" si="0"/>
        <v>3.16</v>
      </c>
      <c r="K14" s="4" t="s">
        <v>17</v>
      </c>
    </row>
    <row r="15" spans="1:11" x14ac:dyDescent="0.3">
      <c r="A15" s="1" t="s">
        <v>37</v>
      </c>
      <c r="B15" s="18" t="s">
        <v>120</v>
      </c>
      <c r="C15" s="2" t="s">
        <v>6</v>
      </c>
      <c r="D15" t="s">
        <v>132</v>
      </c>
      <c r="E15" s="3" t="s">
        <v>0</v>
      </c>
      <c r="F15" s="3">
        <v>1</v>
      </c>
      <c r="G15" s="3">
        <f>Tabel3[[#This Row],[Aantal per PCB]]*Aantal_Basis_PCB_s</f>
        <v>1</v>
      </c>
      <c r="H15" s="14">
        <v>3.71</v>
      </c>
      <c r="I15">
        <v>1</v>
      </c>
      <c r="J15" s="21">
        <f t="shared" si="0"/>
        <v>3.71</v>
      </c>
      <c r="K15" s="4" t="s">
        <v>7</v>
      </c>
    </row>
    <row r="16" spans="1:11" x14ac:dyDescent="0.3">
      <c r="A16" s="1" t="s">
        <v>37</v>
      </c>
      <c r="B16" s="25">
        <v>1778609</v>
      </c>
      <c r="C16" s="5" t="s">
        <v>10</v>
      </c>
      <c r="D16" t="s">
        <v>132</v>
      </c>
      <c r="E16" s="3" t="s">
        <v>0</v>
      </c>
      <c r="F16" s="3">
        <v>3</v>
      </c>
      <c r="G16" s="3">
        <f>Tabel3[[#This Row],[Aantal per PCB]]*Aantal_Basis_PCB_s</f>
        <v>3</v>
      </c>
      <c r="H16" s="14">
        <v>1.87</v>
      </c>
      <c r="I16">
        <v>1</v>
      </c>
      <c r="J16" s="21">
        <f t="shared" si="0"/>
        <v>5.61</v>
      </c>
      <c r="K16" s="4" t="s">
        <v>11</v>
      </c>
    </row>
    <row r="17" spans="1:11" x14ac:dyDescent="0.3">
      <c r="A17" s="1" t="s">
        <v>37</v>
      </c>
      <c r="B17" s="25">
        <v>1778612</v>
      </c>
      <c r="C17" s="5" t="s">
        <v>12</v>
      </c>
      <c r="D17" t="s">
        <v>132</v>
      </c>
      <c r="E17" s="3" t="s">
        <v>0</v>
      </c>
      <c r="F17" s="3">
        <v>4</v>
      </c>
      <c r="G17" s="3">
        <f>Tabel3[[#This Row],[Aantal per PCB]]*Aantal_Basis_PCB_s</f>
        <v>4</v>
      </c>
      <c r="H17" s="14">
        <v>2.2000000000000002</v>
      </c>
      <c r="I17">
        <v>1</v>
      </c>
      <c r="J17" s="21">
        <f t="shared" si="0"/>
        <v>8.8000000000000007</v>
      </c>
      <c r="K17" s="4" t="s">
        <v>13</v>
      </c>
    </row>
    <row r="18" spans="1:11" x14ac:dyDescent="0.3">
      <c r="I18" t="s">
        <v>101</v>
      </c>
      <c r="J18" s="40">
        <f>SUM(Tabel3[Prijs totaal])</f>
        <v>29.172000000000001</v>
      </c>
    </row>
  </sheetData>
  <hyperlinks>
    <hyperlink ref="K10" r:id="rId1" xr:uid="{15E21302-BAFD-458A-8276-4DAFEE739250}"/>
    <hyperlink ref="K11" r:id="rId2" xr:uid="{EDC677E1-F23E-42F3-A37F-2BA3551988B7}"/>
    <hyperlink ref="K8" r:id="rId3" xr:uid="{AA5D3D34-622D-4F4A-9197-1989AE4A563B}"/>
    <hyperlink ref="K3" r:id="rId4" xr:uid="{B97E5C70-EE0B-468A-AB2E-F637DB47630B}"/>
    <hyperlink ref="K5" r:id="rId5" xr:uid="{CBCC84FD-D08F-4DD0-B028-1F8321F9568C}"/>
    <hyperlink ref="K15" r:id="rId6" xr:uid="{88CE4005-5B58-47DC-BA8B-E2F487DDAC5E}"/>
    <hyperlink ref="K7" r:id="rId7" xr:uid="{9399F59C-1884-4228-A922-50883BC629B8}"/>
    <hyperlink ref="K16" r:id="rId8" xr:uid="{5E30A13C-7D9A-43C2-A17F-6FA5026A2767}"/>
    <hyperlink ref="K17" r:id="rId9" xr:uid="{A042F66D-886C-4580-B57C-C30E1B5A53B4}"/>
    <hyperlink ref="K13" r:id="rId10" xr:uid="{445574DA-FA63-4B67-A9D2-D6E939C9EAF5}"/>
    <hyperlink ref="K14" r:id="rId11" xr:uid="{7FEB4833-B439-469D-80D5-1A1CD38C32A2}"/>
    <hyperlink ref="K9" r:id="rId12" xr:uid="{5218EC15-CDD9-4D01-BE50-C40F6271ADEC}"/>
    <hyperlink ref="K4" r:id="rId13" xr:uid="{D5E1EE06-B796-401D-BBBA-90076DCDC827}"/>
    <hyperlink ref="K12" r:id="rId14" display="https://nl.mouser.com/ProductDetail/CK/KSR232G-LFS?qs=ljbEvF4DwONacdpFgAfrOw%3D%3D" xr:uid="{3C3923BE-F278-48B5-A6C8-C15E4D27ECD9}"/>
    <hyperlink ref="K6" r:id="rId15" display="https://nl.mouser.com/ProductDetail/SEI-Stackpole/RMCF1206JT5K10?qs=sGAEpiMZZMvdGkrng054tyMPH50YnZ95RycLOXM5yYjF6csMxWmZOw%3D%3D" xr:uid="{90A7311D-81C4-424F-B784-3AEB9C13CB18}"/>
  </hyperlinks>
  <pageMargins left="0.7" right="0.7" top="0.75" bottom="0.75" header="0.3" footer="0.3"/>
  <tableParts count="1">
    <tablePart r:id="rId1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C8F3A-2E0C-49D2-952A-29007C07914D}">
  <dimension ref="A1:K26"/>
  <sheetViews>
    <sheetView zoomScale="85" zoomScaleNormal="85" workbookViewId="0">
      <selection activeCell="C12" sqref="B12:C12"/>
    </sheetView>
  </sheetViews>
  <sheetFormatPr defaultRowHeight="14.4" x14ac:dyDescent="0.3"/>
  <cols>
    <col min="1" max="1" width="12" bestFit="1" customWidth="1"/>
    <col min="2" max="2" width="27.44140625" bestFit="1" customWidth="1"/>
    <col min="3" max="3" width="39.5546875" bestFit="1" customWidth="1"/>
    <col min="4" max="4" width="14.6640625" bestFit="1" customWidth="1"/>
    <col min="5" max="5" width="12.88671875" bestFit="1" customWidth="1"/>
    <col min="6" max="6" width="15.5546875" bestFit="1" customWidth="1"/>
    <col min="7" max="7" width="13.77734375" bestFit="1" customWidth="1"/>
    <col min="8" max="8" width="11.88671875" bestFit="1" customWidth="1"/>
    <col min="9" max="10" width="12.88671875" bestFit="1" customWidth="1"/>
    <col min="11" max="11" width="129.21875" bestFit="1" customWidth="1"/>
  </cols>
  <sheetData>
    <row r="1" spans="1:11" x14ac:dyDescent="0.3">
      <c r="A1" s="24" t="s">
        <v>128</v>
      </c>
      <c r="B1" s="7" t="s">
        <v>131</v>
      </c>
      <c r="C1" s="24" t="s">
        <v>25</v>
      </c>
      <c r="D1" s="7">
        <v>1</v>
      </c>
      <c r="E1" s="6"/>
      <c r="F1" s="6"/>
      <c r="G1" s="6"/>
      <c r="H1" s="6"/>
      <c r="I1" s="6"/>
      <c r="J1" s="6"/>
      <c r="K1" s="6"/>
    </row>
    <row r="2" spans="1:11" x14ac:dyDescent="0.3">
      <c r="A2" s="8" t="s">
        <v>26</v>
      </c>
      <c r="B2" s="8" t="s">
        <v>27</v>
      </c>
      <c r="C2" s="9" t="s">
        <v>28</v>
      </c>
      <c r="D2" s="9" t="s">
        <v>29</v>
      </c>
      <c r="E2" s="9" t="s">
        <v>30</v>
      </c>
      <c r="F2" s="9" t="s">
        <v>31</v>
      </c>
      <c r="G2" s="9" t="s">
        <v>32</v>
      </c>
      <c r="H2" s="10" t="s">
        <v>33</v>
      </c>
      <c r="I2" s="11" t="s">
        <v>34</v>
      </c>
      <c r="J2" s="12" t="s">
        <v>35</v>
      </c>
      <c r="K2" s="13" t="s">
        <v>36</v>
      </c>
    </row>
    <row r="3" spans="1:11" x14ac:dyDescent="0.3">
      <c r="A3" s="1" t="s">
        <v>37</v>
      </c>
      <c r="B3" t="s">
        <v>43</v>
      </c>
      <c r="C3" t="s">
        <v>44</v>
      </c>
      <c r="D3" s="3" t="s">
        <v>40</v>
      </c>
      <c r="E3" s="3" t="s">
        <v>41</v>
      </c>
      <c r="F3" s="3">
        <v>1</v>
      </c>
      <c r="G3" s="3">
        <f t="shared" ref="G3:G25" si="0">F3*Aantal_PCB_s</f>
        <v>1</v>
      </c>
      <c r="H3" s="14">
        <v>0.18509999999999999</v>
      </c>
      <c r="I3">
        <v>1</v>
      </c>
      <c r="J3" s="15">
        <f t="shared" ref="J3:J25" si="1">H3*(ROUNDUP(G3/I3,0))*I3</f>
        <v>0.18509999999999999</v>
      </c>
      <c r="K3" s="16" t="s">
        <v>45</v>
      </c>
    </row>
    <row r="4" spans="1:11" x14ac:dyDescent="0.3">
      <c r="A4" s="1" t="s">
        <v>37</v>
      </c>
      <c r="B4" t="s">
        <v>46</v>
      </c>
      <c r="C4" s="3" t="s">
        <v>47</v>
      </c>
      <c r="D4" s="3" t="s">
        <v>40</v>
      </c>
      <c r="E4" s="3" t="s">
        <v>41</v>
      </c>
      <c r="F4" s="3">
        <v>1</v>
      </c>
      <c r="G4" s="3">
        <f t="shared" si="0"/>
        <v>1</v>
      </c>
      <c r="H4" s="14">
        <v>1.9599999999999999E-2</v>
      </c>
      <c r="I4">
        <v>10</v>
      </c>
      <c r="J4" s="15">
        <f t="shared" si="1"/>
        <v>0.19600000000000001</v>
      </c>
      <c r="K4" s="16" t="s">
        <v>48</v>
      </c>
    </row>
    <row r="5" spans="1:11" x14ac:dyDescent="0.3">
      <c r="A5" s="1" t="s">
        <v>37</v>
      </c>
      <c r="B5" t="s">
        <v>38</v>
      </c>
      <c r="C5" t="s">
        <v>39</v>
      </c>
      <c r="D5" s="3" t="s">
        <v>40</v>
      </c>
      <c r="E5" s="3" t="s">
        <v>41</v>
      </c>
      <c r="F5" s="3">
        <v>2</v>
      </c>
      <c r="G5" s="3">
        <f t="shared" si="0"/>
        <v>2</v>
      </c>
      <c r="H5" s="14">
        <v>4.8500000000000001E-2</v>
      </c>
      <c r="I5">
        <v>10</v>
      </c>
      <c r="J5" s="15">
        <f t="shared" si="1"/>
        <v>0.48499999999999999</v>
      </c>
      <c r="K5" s="16" t="s">
        <v>42</v>
      </c>
    </row>
    <row r="6" spans="1:11" x14ac:dyDescent="0.3">
      <c r="A6" s="1" t="s">
        <v>37</v>
      </c>
      <c r="B6" s="2" t="s">
        <v>65</v>
      </c>
      <c r="C6" t="s">
        <v>66</v>
      </c>
      <c r="D6" s="3" t="s">
        <v>51</v>
      </c>
      <c r="E6" s="3" t="s">
        <v>41</v>
      </c>
      <c r="F6" s="3">
        <v>1</v>
      </c>
      <c r="G6" s="3">
        <f t="shared" si="0"/>
        <v>1</v>
      </c>
      <c r="H6" s="14">
        <v>6.3E-3</v>
      </c>
      <c r="I6">
        <v>10</v>
      </c>
      <c r="J6" s="15">
        <f t="shared" si="1"/>
        <v>6.3E-2</v>
      </c>
      <c r="K6" s="16" t="s">
        <v>67</v>
      </c>
    </row>
    <row r="7" spans="1:11" x14ac:dyDescent="0.3">
      <c r="A7" s="1" t="s">
        <v>37</v>
      </c>
      <c r="B7" t="s">
        <v>62</v>
      </c>
      <c r="C7" s="3" t="s">
        <v>63</v>
      </c>
      <c r="D7" s="3" t="s">
        <v>51</v>
      </c>
      <c r="E7" s="3" t="s">
        <v>41</v>
      </c>
      <c r="F7" s="3">
        <v>1</v>
      </c>
      <c r="G7" s="3">
        <f t="shared" si="0"/>
        <v>1</v>
      </c>
      <c r="H7" s="14">
        <v>6.4999999999999997E-3</v>
      </c>
      <c r="I7">
        <v>10</v>
      </c>
      <c r="J7" s="15">
        <f t="shared" si="1"/>
        <v>6.5000000000000002E-2</v>
      </c>
      <c r="K7" s="16" t="s">
        <v>64</v>
      </c>
    </row>
    <row r="8" spans="1:11" x14ac:dyDescent="0.3">
      <c r="A8" s="1" t="s">
        <v>37</v>
      </c>
      <c r="B8" t="s">
        <v>46</v>
      </c>
      <c r="C8" s="3" t="s">
        <v>47</v>
      </c>
      <c r="D8" s="3" t="s">
        <v>51</v>
      </c>
      <c r="E8" s="3" t="s">
        <v>41</v>
      </c>
      <c r="F8" s="3">
        <v>1</v>
      </c>
      <c r="G8" s="3">
        <f t="shared" si="0"/>
        <v>1</v>
      </c>
      <c r="H8" s="14">
        <v>1.9599999999999999E-2</v>
      </c>
      <c r="I8">
        <v>10</v>
      </c>
      <c r="J8" s="15">
        <f t="shared" si="1"/>
        <v>0.19600000000000001</v>
      </c>
      <c r="K8" s="16" t="s">
        <v>48</v>
      </c>
    </row>
    <row r="9" spans="1:11" x14ac:dyDescent="0.3">
      <c r="A9" s="1" t="s">
        <v>37</v>
      </c>
      <c r="B9" s="2" t="s">
        <v>49</v>
      </c>
      <c r="C9" s="3" t="s">
        <v>50</v>
      </c>
      <c r="D9" s="3" t="s">
        <v>51</v>
      </c>
      <c r="E9" s="3" t="s">
        <v>41</v>
      </c>
      <c r="F9" s="3">
        <v>2</v>
      </c>
      <c r="G9" s="3">
        <f t="shared" si="0"/>
        <v>2</v>
      </c>
      <c r="H9" s="14">
        <v>5.7700000000000001E-2</v>
      </c>
      <c r="I9">
        <v>5</v>
      </c>
      <c r="J9" s="15">
        <f t="shared" si="1"/>
        <v>0.28849999999999998</v>
      </c>
      <c r="K9" s="4" t="s">
        <v>52</v>
      </c>
    </row>
    <row r="10" spans="1:11" x14ac:dyDescent="0.3">
      <c r="A10" s="1" t="s">
        <v>37</v>
      </c>
      <c r="B10" s="2" t="s">
        <v>59</v>
      </c>
      <c r="C10" s="3" t="s">
        <v>60</v>
      </c>
      <c r="D10" s="3" t="s">
        <v>51</v>
      </c>
      <c r="E10" s="3" t="s">
        <v>41</v>
      </c>
      <c r="F10" s="3">
        <v>1</v>
      </c>
      <c r="G10" s="3">
        <f t="shared" si="0"/>
        <v>1</v>
      </c>
      <c r="H10" s="14">
        <v>0.87719999999999998</v>
      </c>
      <c r="I10">
        <v>1</v>
      </c>
      <c r="J10" s="15">
        <f t="shared" si="1"/>
        <v>0.87719999999999998</v>
      </c>
      <c r="K10" s="16" t="s">
        <v>61</v>
      </c>
    </row>
    <row r="11" spans="1:11" x14ac:dyDescent="0.3">
      <c r="A11" s="1" t="s">
        <v>37</v>
      </c>
      <c r="B11" s="2" t="s">
        <v>53</v>
      </c>
      <c r="C11" s="3" t="s">
        <v>54</v>
      </c>
      <c r="D11" s="3" t="s">
        <v>51</v>
      </c>
      <c r="E11" s="3" t="s">
        <v>41</v>
      </c>
      <c r="F11" s="3">
        <v>1</v>
      </c>
      <c r="G11" s="3">
        <f t="shared" si="0"/>
        <v>1</v>
      </c>
      <c r="H11" s="14">
        <v>0.28920000000000001</v>
      </c>
      <c r="I11">
        <v>5</v>
      </c>
      <c r="J11" s="15">
        <f t="shared" si="1"/>
        <v>1.4460000000000002</v>
      </c>
      <c r="K11" s="16" t="s">
        <v>55</v>
      </c>
    </row>
    <row r="12" spans="1:11" x14ac:dyDescent="0.3">
      <c r="A12" s="1" t="s">
        <v>37</v>
      </c>
      <c r="B12" s="2" t="s">
        <v>56</v>
      </c>
      <c r="C12" s="3" t="s">
        <v>57</v>
      </c>
      <c r="D12" s="3" t="s">
        <v>51</v>
      </c>
      <c r="E12" s="3" t="s">
        <v>41</v>
      </c>
      <c r="F12" s="3">
        <v>1</v>
      </c>
      <c r="G12" s="3">
        <f t="shared" si="0"/>
        <v>1</v>
      </c>
      <c r="H12" s="14">
        <v>0.29699999999999999</v>
      </c>
      <c r="I12">
        <v>5</v>
      </c>
      <c r="J12" s="15">
        <f t="shared" si="1"/>
        <v>1.4849999999999999</v>
      </c>
      <c r="K12" s="16" t="s">
        <v>58</v>
      </c>
    </row>
    <row r="13" spans="1:11" x14ac:dyDescent="0.3">
      <c r="A13" s="1" t="s">
        <v>37</v>
      </c>
      <c r="B13" s="5" t="s">
        <v>81</v>
      </c>
      <c r="C13" s="3" t="s">
        <v>82</v>
      </c>
      <c r="D13" s="3" t="s">
        <v>70</v>
      </c>
      <c r="E13" s="3" t="s">
        <v>41</v>
      </c>
      <c r="F13" s="3">
        <v>1</v>
      </c>
      <c r="G13" s="3">
        <f t="shared" si="0"/>
        <v>1</v>
      </c>
      <c r="H13" s="14">
        <v>1.8499999999999999E-2</v>
      </c>
      <c r="I13">
        <v>10</v>
      </c>
      <c r="J13" s="15">
        <f t="shared" si="1"/>
        <v>0.185</v>
      </c>
      <c r="K13" s="16" t="s">
        <v>83</v>
      </c>
    </row>
    <row r="14" spans="1:11" x14ac:dyDescent="0.3">
      <c r="A14" s="1" t="s">
        <v>37</v>
      </c>
      <c r="B14" s="17" t="s">
        <v>78</v>
      </c>
      <c r="C14" s="3" t="s">
        <v>79</v>
      </c>
      <c r="D14" s="3" t="s">
        <v>70</v>
      </c>
      <c r="E14" s="3" t="s">
        <v>41</v>
      </c>
      <c r="F14" s="3">
        <v>1</v>
      </c>
      <c r="G14" s="3">
        <f t="shared" si="0"/>
        <v>1</v>
      </c>
      <c r="H14" s="14">
        <v>2.0299999999999999E-2</v>
      </c>
      <c r="I14">
        <v>10</v>
      </c>
      <c r="J14" s="15">
        <f t="shared" si="1"/>
        <v>0.20299999999999999</v>
      </c>
      <c r="K14" s="16" t="s">
        <v>80</v>
      </c>
    </row>
    <row r="15" spans="1:11" x14ac:dyDescent="0.3">
      <c r="A15" s="1" t="s">
        <v>37</v>
      </c>
      <c r="B15" s="5" t="s">
        <v>68</v>
      </c>
      <c r="C15" s="3" t="s">
        <v>69</v>
      </c>
      <c r="D15" s="3" t="s">
        <v>70</v>
      </c>
      <c r="E15" s="3" t="s">
        <v>41</v>
      </c>
      <c r="F15" s="3">
        <v>1</v>
      </c>
      <c r="G15" s="3">
        <f t="shared" si="0"/>
        <v>1</v>
      </c>
      <c r="H15" s="14">
        <v>0.91359999999999997</v>
      </c>
      <c r="I15">
        <v>1</v>
      </c>
      <c r="J15" s="15">
        <f t="shared" si="1"/>
        <v>0.91359999999999997</v>
      </c>
      <c r="K15" s="16" t="s">
        <v>71</v>
      </c>
    </row>
    <row r="16" spans="1:11" x14ac:dyDescent="0.3">
      <c r="A16" s="1" t="s">
        <v>37</v>
      </c>
      <c r="B16" s="5" t="s">
        <v>75</v>
      </c>
      <c r="C16" s="3" t="s">
        <v>76</v>
      </c>
      <c r="D16" s="3" t="s">
        <v>70</v>
      </c>
      <c r="E16" s="3" t="s">
        <v>41</v>
      </c>
      <c r="F16" s="3">
        <v>1</v>
      </c>
      <c r="G16" s="3">
        <f t="shared" si="0"/>
        <v>1</v>
      </c>
      <c r="H16" s="14">
        <v>0.23469999999999999</v>
      </c>
      <c r="I16">
        <v>5</v>
      </c>
      <c r="J16" s="15">
        <f t="shared" si="1"/>
        <v>1.1735</v>
      </c>
      <c r="K16" s="16" t="s">
        <v>77</v>
      </c>
    </row>
    <row r="17" spans="1:11" x14ac:dyDescent="0.3">
      <c r="A17" s="1" t="s">
        <v>37</v>
      </c>
      <c r="B17" s="5" t="s">
        <v>72</v>
      </c>
      <c r="C17" s="3" t="s">
        <v>73</v>
      </c>
      <c r="D17" s="3" t="s">
        <v>70</v>
      </c>
      <c r="E17" s="3" t="s">
        <v>41</v>
      </c>
      <c r="F17" s="3">
        <v>2</v>
      </c>
      <c r="G17" s="3">
        <f t="shared" si="0"/>
        <v>2</v>
      </c>
      <c r="H17" s="14">
        <v>0.33760000000000001</v>
      </c>
      <c r="I17">
        <v>10</v>
      </c>
      <c r="J17" s="15">
        <f t="shared" si="1"/>
        <v>3.3760000000000003</v>
      </c>
      <c r="K17" s="16" t="s">
        <v>74</v>
      </c>
    </row>
    <row r="18" spans="1:11" x14ac:dyDescent="0.3">
      <c r="A18" s="1" t="s">
        <v>37</v>
      </c>
      <c r="B18" s="5" t="s">
        <v>173</v>
      </c>
      <c r="C18" s="3" t="s">
        <v>84</v>
      </c>
      <c r="D18" s="3" t="s">
        <v>70</v>
      </c>
      <c r="E18" s="3" t="s">
        <v>0</v>
      </c>
      <c r="F18" s="3">
        <v>1</v>
      </c>
      <c r="G18" s="3">
        <f t="shared" si="0"/>
        <v>1</v>
      </c>
      <c r="H18" s="14">
        <v>0.114</v>
      </c>
      <c r="I18">
        <v>1</v>
      </c>
      <c r="J18" s="15">
        <f t="shared" si="1"/>
        <v>0.114</v>
      </c>
      <c r="K18" s="16" t="s">
        <v>174</v>
      </c>
    </row>
    <row r="19" spans="1:11" x14ac:dyDescent="0.3">
      <c r="A19" s="1" t="s">
        <v>37</v>
      </c>
      <c r="B19" s="2" t="s">
        <v>85</v>
      </c>
      <c r="C19" s="3" t="s">
        <v>86</v>
      </c>
      <c r="D19" s="3" t="s">
        <v>87</v>
      </c>
      <c r="E19" s="3" t="s">
        <v>41</v>
      </c>
      <c r="F19" s="3">
        <v>1</v>
      </c>
      <c r="G19" s="3">
        <f t="shared" si="0"/>
        <v>1</v>
      </c>
      <c r="H19" s="14">
        <v>0.58930000000000005</v>
      </c>
      <c r="I19">
        <v>1</v>
      </c>
      <c r="J19" s="15">
        <f t="shared" si="1"/>
        <v>0.58930000000000005</v>
      </c>
      <c r="K19" s="16" t="s">
        <v>88</v>
      </c>
    </row>
    <row r="20" spans="1:11" x14ac:dyDescent="0.3">
      <c r="A20" s="1" t="s">
        <v>37</v>
      </c>
      <c r="B20" s="2" t="s">
        <v>92</v>
      </c>
      <c r="C20" s="3" t="s">
        <v>93</v>
      </c>
      <c r="D20" s="3" t="s">
        <v>87</v>
      </c>
      <c r="E20" s="3" t="s">
        <v>41</v>
      </c>
      <c r="F20" s="3">
        <v>1</v>
      </c>
      <c r="G20" s="3">
        <f t="shared" si="0"/>
        <v>1</v>
      </c>
      <c r="H20" s="14">
        <v>1.2015</v>
      </c>
      <c r="I20">
        <v>1</v>
      </c>
      <c r="J20" s="15">
        <f t="shared" si="1"/>
        <v>1.2015</v>
      </c>
      <c r="K20" s="16" t="s">
        <v>94</v>
      </c>
    </row>
    <row r="21" spans="1:11" x14ac:dyDescent="0.3">
      <c r="A21" s="1" t="s">
        <v>37</v>
      </c>
      <c r="B21" t="s">
        <v>89</v>
      </c>
      <c r="C21" t="s">
        <v>90</v>
      </c>
      <c r="D21" t="s">
        <v>87</v>
      </c>
      <c r="E21" t="s">
        <v>41</v>
      </c>
      <c r="F21">
        <v>1</v>
      </c>
      <c r="G21" s="3">
        <f t="shared" si="0"/>
        <v>1</v>
      </c>
      <c r="H21" s="15">
        <v>1.5851</v>
      </c>
      <c r="I21">
        <v>1</v>
      </c>
      <c r="J21" s="15">
        <f t="shared" si="1"/>
        <v>1.5851</v>
      </c>
      <c r="K21" s="16" t="s">
        <v>91</v>
      </c>
    </row>
    <row r="22" spans="1:11" x14ac:dyDescent="0.3">
      <c r="A22" s="1" t="s">
        <v>37</v>
      </c>
      <c r="B22" s="18">
        <v>1808239</v>
      </c>
      <c r="C22" s="3" t="s">
        <v>95</v>
      </c>
      <c r="D22" s="3" t="s">
        <v>87</v>
      </c>
      <c r="E22" s="3" t="s">
        <v>0</v>
      </c>
      <c r="F22" s="3">
        <v>1</v>
      </c>
      <c r="G22" s="3">
        <f t="shared" si="0"/>
        <v>1</v>
      </c>
      <c r="H22" s="14">
        <v>1.77</v>
      </c>
      <c r="I22">
        <v>1</v>
      </c>
      <c r="J22" s="15">
        <f t="shared" si="1"/>
        <v>1.77</v>
      </c>
      <c r="K22" s="16" t="s">
        <v>96</v>
      </c>
    </row>
    <row r="23" spans="1:11" x14ac:dyDescent="0.3">
      <c r="A23" s="1" t="s">
        <v>37</v>
      </c>
      <c r="B23" s="19" t="s">
        <v>98</v>
      </c>
      <c r="C23" s="3" t="s">
        <v>99</v>
      </c>
      <c r="D23" s="3" t="s">
        <v>97</v>
      </c>
      <c r="E23" s="3" t="s">
        <v>41</v>
      </c>
      <c r="F23" s="3">
        <v>1</v>
      </c>
      <c r="G23" s="3">
        <f t="shared" si="0"/>
        <v>1</v>
      </c>
      <c r="H23" s="14">
        <v>0.19</v>
      </c>
      <c r="I23">
        <v>1</v>
      </c>
      <c r="J23" s="15">
        <f t="shared" si="1"/>
        <v>0.19</v>
      </c>
      <c r="K23" s="16" t="s">
        <v>100</v>
      </c>
    </row>
    <row r="24" spans="1:11" x14ac:dyDescent="0.3">
      <c r="A24" s="1" t="s">
        <v>37</v>
      </c>
      <c r="B24" s="17" t="s">
        <v>78</v>
      </c>
      <c r="C24" s="3" t="s">
        <v>79</v>
      </c>
      <c r="D24" s="3" t="s">
        <v>97</v>
      </c>
      <c r="E24" s="3" t="s">
        <v>41</v>
      </c>
      <c r="F24" s="3">
        <v>6</v>
      </c>
      <c r="G24" s="3">
        <f t="shared" si="0"/>
        <v>6</v>
      </c>
      <c r="H24" s="14">
        <v>2.0299999999999999E-2</v>
      </c>
      <c r="I24">
        <v>10</v>
      </c>
      <c r="J24" s="15">
        <f t="shared" si="1"/>
        <v>0.20299999999999999</v>
      </c>
      <c r="K24" s="16" t="s">
        <v>80</v>
      </c>
    </row>
    <row r="25" spans="1:11" x14ac:dyDescent="0.3">
      <c r="A25" s="1" t="s">
        <v>37</v>
      </c>
      <c r="B25" s="5" t="s">
        <v>75</v>
      </c>
      <c r="C25" s="3" t="s">
        <v>76</v>
      </c>
      <c r="D25" s="3" t="s">
        <v>97</v>
      </c>
      <c r="E25" s="3" t="s">
        <v>41</v>
      </c>
      <c r="F25" s="3">
        <v>6</v>
      </c>
      <c r="G25" s="3">
        <f t="shared" si="0"/>
        <v>6</v>
      </c>
      <c r="H25" s="14">
        <v>0.23469999999999999</v>
      </c>
      <c r="I25">
        <v>5</v>
      </c>
      <c r="J25" s="15">
        <f t="shared" si="1"/>
        <v>2.347</v>
      </c>
      <c r="K25" s="16" t="s">
        <v>77</v>
      </c>
    </row>
    <row r="26" spans="1:11" x14ac:dyDescent="0.3">
      <c r="H26" s="15"/>
      <c r="I26" s="3" t="s">
        <v>101</v>
      </c>
      <c r="J26" s="39">
        <f>SUM(J3:J25)</f>
        <v>19.137800000000002</v>
      </c>
    </row>
  </sheetData>
  <hyperlinks>
    <hyperlink ref="K19" r:id="rId1" display="https://nl.farnell.com/nexperia/nca9306dph/volt-lvl-translator-40-to-125deg/dp/3585594" xr:uid="{5541E4DE-6BBD-4EA3-B89A-805B83B31F35}"/>
    <hyperlink ref="K12" r:id="rId2" display="https://nl.farnell.com/murata/lqh32cn4r7m33l/inductor-4-7uh-shielded-0-65a/dp/9522190" xr:uid="{E7C4F944-A0CE-444F-8889-71CB7A696BCC}"/>
    <hyperlink ref="K15" r:id="rId3" display="https://nl.farnell.com/microchip/mcp73832t-2aci-ot/li-ion-li-poly-charge-controller/dp/1332159" xr:uid="{77EB766B-812C-473B-BCB2-71874865BEC4}"/>
    <hyperlink ref="K17" r:id="rId4" display="https://nl.farnell.com/kemet/c1206c475k9ractu/cap-4-7-f-6-3v-10-x7r-1206/dp/2819801" xr:uid="{74CD4561-722B-40B6-BE32-40D5223172CE}"/>
    <hyperlink ref="K16" r:id="rId5" display="https://nl.farnell.com/qt-brightek/qblp595-o5/led-orange-30mcd-605nm-140deg/dp/4676959" xr:uid="{35348F30-A186-4873-AF30-D293B2BE216A}"/>
    <hyperlink ref="K14" r:id="rId6" display="https://nl.farnell.com/panasonic/erj2rkf6340x/res-634r-1-0-1w-0402-thick-film/dp/2302616" xr:uid="{D4130DF1-2587-40F3-9FC0-A045E7EEF03D}"/>
    <hyperlink ref="K13" r:id="rId7" display="https://nl.farnell.com/vishay/crcw04022k00fkedc/res-2k-1-0-063w-0402-thick-film/dp/4177454" xr:uid="{06A339A0-24E2-4C37-974D-57ADA155A83A}"/>
    <hyperlink ref="K11" r:id="rId8" display="https://nl.farnell.com/diodes-inc/1n5819hw-7-f/diode-scky-recti-1a-40v-sod123/dp/1773475" xr:uid="{C8F34A06-013B-44A9-A0D0-E1A09979DED9}"/>
    <hyperlink ref="K9" r:id="rId9" xr:uid="{63186E8D-D9A0-4D16-A95B-27C7D1C618ED}"/>
    <hyperlink ref="K10" r:id="rId10" display="https://nl.farnell.com/microchip/mic2288yd5-tr/switching-regulator-boost-sot/dp/2509929" xr:uid="{82A7308C-C6E0-4CC1-95E9-8D95D421D555}"/>
    <hyperlink ref="K7" r:id="rId11" display="https://nl.farnell.com/multicomp-pro/mcwr06x5621ftl/res-5k62-1-0-1w-thick-film/dp/2447406" xr:uid="{93351116-48E9-47FA-8E3F-341A2EB41C20}"/>
    <hyperlink ref="K6" r:id="rId12" display="https://nl.farnell.com/multicomp-pro/mcwr06x1871ftl/res-1k87-1-0-1w-0603-thick-film/dp/2694757" xr:uid="{8AFC9DB7-98F8-4A43-96B8-A5AACB469338}"/>
    <hyperlink ref="K8" r:id="rId13" display="https://nl.farnell.com/vishay/crcw060310k0fkea/res-10k-1-0-1w-0603-thick-film/dp/1469748" xr:uid="{543B452D-B3EC-4AD2-994B-51FCC9C40EBD}"/>
    <hyperlink ref="K5" r:id="rId14" display="https://nl.farnell.com/yageo/cc0402krx5r6bb105/cap-1-f-10v-10-x5r-0402/dp/1458896" xr:uid="{C6F5DCEA-2D81-4718-BA1B-374492FCAA56}"/>
    <hyperlink ref="K3" r:id="rId15" display="https://nl.farnell.com/microchip/mic5504-3-3ym5-tr/ldo-fixed-3-3v-0-3a-40-to-125/dp/2510377" xr:uid="{2BF80F25-D446-4578-8D72-8642C66FB8F5}"/>
    <hyperlink ref="K21" r:id="rId16" xr:uid="{FBCFA87A-AC9B-4AE5-9CFC-03F0A6AE5DA5}"/>
    <hyperlink ref="K20" r:id="rId17" display="https://nl.farnell.com/microchip/mcp3021a2t-e-ot/adc-sar-10bit-22-3ksps-125deg/dp/3796961" xr:uid="{7D950F09-31BF-44D6-B793-F8D8BF85084D}"/>
    <hyperlink ref="K22" r:id="rId18" display="https://nl.mouser.com/ProductDetail/Phoenix-Contact/1808239?qs=sGAEpiMZZMvPvGwLNS671y19%252B%2FPPI9uepj0elGsKWY32q9OBHL93nA%3D%3D" xr:uid="{880829F2-114F-429E-918F-96CF72C39830}"/>
    <hyperlink ref="K4" r:id="rId19" display="https://nl.farnell.com/vishay/crcw060310k0fkea/res-10k-1-0-1w-0603-thick-film/dp/1469748" xr:uid="{C350C1A6-9E84-4604-8FC2-B6B08A989E92}"/>
    <hyperlink ref="K23" r:id="rId20" display="https://nl.farnell.com/multicomp-pro/mptsm-31n-v/tactile-switch-0-05a-12vdc-smd/dp/4153524" xr:uid="{9D748BD8-319E-448E-B600-00BAD5E9E512}"/>
    <hyperlink ref="K25" r:id="rId21" display="https://nl.farnell.com/qt-brightek/qblp595-o5/led-orange-30mcd-605nm-140deg/dp/4676959" xr:uid="{BDB083DB-8330-4D5F-9E2B-609572416E99}"/>
    <hyperlink ref="K24" r:id="rId22" display="https://nl.farnell.com/panasonic/erj2rkf6340x/res-634r-1-0-1w-0402-thick-film/dp/2302616" xr:uid="{98BB767A-3F2F-4B96-A1FC-776E07B182CB}"/>
    <hyperlink ref="K18" r:id="rId23" xr:uid="{E80FB559-915E-4EBB-B14B-B8FEA7DA93BD}"/>
  </hyperlinks>
  <pageMargins left="0.7" right="0.7" top="0.75" bottom="0.75" header="0.3" footer="0.3"/>
  <tableParts count="1">
    <tablePart r:id="rId2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0F697-9322-47DE-B946-6F579D4C833A}">
  <dimension ref="A1:K15"/>
  <sheetViews>
    <sheetView zoomScale="85" zoomScaleNormal="85" workbookViewId="0">
      <selection activeCell="B8" sqref="B8"/>
    </sheetView>
  </sheetViews>
  <sheetFormatPr defaultRowHeight="14.4" x14ac:dyDescent="0.3"/>
  <cols>
    <col min="1" max="1" width="12" bestFit="1" customWidth="1"/>
    <col min="2" max="2" width="32" bestFit="1" customWidth="1"/>
    <col min="3" max="3" width="24.5546875" bestFit="1" customWidth="1"/>
    <col min="4" max="4" width="17.5546875" bestFit="1" customWidth="1"/>
    <col min="5" max="5" width="12.88671875" bestFit="1" customWidth="1"/>
    <col min="6" max="6" width="15.5546875" bestFit="1" customWidth="1"/>
    <col min="7" max="7" width="13.77734375" bestFit="1" customWidth="1"/>
    <col min="8" max="8" width="11.88671875" bestFit="1" customWidth="1"/>
    <col min="9" max="10" width="12.88671875" bestFit="1" customWidth="1"/>
    <col min="11" max="11" width="124.5546875" bestFit="1" customWidth="1"/>
  </cols>
  <sheetData>
    <row r="1" spans="1:11" x14ac:dyDescent="0.3">
      <c r="A1" s="24" t="s">
        <v>128</v>
      </c>
      <c r="B1" s="7" t="s">
        <v>130</v>
      </c>
      <c r="C1" s="24" t="s">
        <v>25</v>
      </c>
      <c r="D1" s="7">
        <v>1</v>
      </c>
      <c r="E1" s="6"/>
      <c r="F1" s="6"/>
      <c r="G1" s="6"/>
      <c r="H1" s="6"/>
      <c r="I1" s="6"/>
      <c r="J1" s="6"/>
      <c r="K1" s="6"/>
    </row>
    <row r="2" spans="1:11" x14ac:dyDescent="0.3">
      <c r="A2" s="8" t="s">
        <v>26</v>
      </c>
      <c r="B2" s="8" t="s">
        <v>27</v>
      </c>
      <c r="C2" s="9" t="s">
        <v>28</v>
      </c>
      <c r="D2" s="9" t="s">
        <v>29</v>
      </c>
      <c r="E2" s="9" t="s">
        <v>30</v>
      </c>
      <c r="F2" s="9" t="s">
        <v>31</v>
      </c>
      <c r="G2" s="9" t="s">
        <v>32</v>
      </c>
      <c r="H2" s="10" t="s">
        <v>33</v>
      </c>
      <c r="I2" s="11" t="s">
        <v>34</v>
      </c>
      <c r="J2" s="12" t="s">
        <v>35</v>
      </c>
      <c r="K2" s="13" t="s">
        <v>36</v>
      </c>
    </row>
    <row r="3" spans="1:11" x14ac:dyDescent="0.3">
      <c r="A3" s="1" t="s">
        <v>37</v>
      </c>
      <c r="B3" t="s">
        <v>122</v>
      </c>
      <c r="C3" s="3" t="s">
        <v>109</v>
      </c>
      <c r="D3" s="3" t="s">
        <v>115</v>
      </c>
      <c r="E3" s="3" t="s">
        <v>0</v>
      </c>
      <c r="F3" s="3">
        <v>1</v>
      </c>
      <c r="G3" s="3">
        <f>SUM(Tabel23[[#This Row],[Aantal per PCB]]*Aantal_Display_knop_PCB_s)</f>
        <v>1</v>
      </c>
      <c r="H3" s="14">
        <v>1.6E-2</v>
      </c>
      <c r="I3">
        <v>10</v>
      </c>
      <c r="J3" s="15">
        <f t="shared" ref="J3:J13" si="0">H3*(ROUNDUP(G3/I3,0))*I3</f>
        <v>0.16</v>
      </c>
      <c r="K3" s="4" t="s">
        <v>4</v>
      </c>
    </row>
    <row r="4" spans="1:11" x14ac:dyDescent="0.3">
      <c r="A4" s="1" t="s">
        <v>37</v>
      </c>
      <c r="B4" s="2" t="s">
        <v>127</v>
      </c>
      <c r="C4" s="3" t="s">
        <v>108</v>
      </c>
      <c r="D4" s="3" t="s">
        <v>115</v>
      </c>
      <c r="E4" s="3" t="s">
        <v>0</v>
      </c>
      <c r="F4" s="3">
        <v>2</v>
      </c>
      <c r="G4" s="3">
        <f>SUM(Tabel23[[#This Row],[Aantal per PCB]]*Aantal_Display_knop_PCB_s)</f>
        <v>2</v>
      </c>
      <c r="H4" s="14">
        <v>9.5000000000000001E-2</v>
      </c>
      <c r="I4">
        <v>1</v>
      </c>
      <c r="J4" s="15">
        <f t="shared" si="0"/>
        <v>0.19</v>
      </c>
      <c r="K4" s="16" t="s">
        <v>126</v>
      </c>
    </row>
    <row r="5" spans="1:11" x14ac:dyDescent="0.3">
      <c r="A5" s="1" t="s">
        <v>37</v>
      </c>
      <c r="B5" s="5" t="s">
        <v>121</v>
      </c>
      <c r="C5" s="3" t="s">
        <v>114</v>
      </c>
      <c r="D5" s="3" t="s">
        <v>115</v>
      </c>
      <c r="E5" s="3" t="s">
        <v>0</v>
      </c>
      <c r="F5" s="3">
        <v>1</v>
      </c>
      <c r="G5" s="3">
        <f>SUM(Tabel23[[#This Row],[Aantal per PCB]]*Aantal_Display_knop_PCB_s)</f>
        <v>1</v>
      </c>
      <c r="H5" s="14">
        <v>0.41799999999999998</v>
      </c>
      <c r="I5">
        <v>1</v>
      </c>
      <c r="J5" s="15">
        <f t="shared" si="0"/>
        <v>0.41799999999999998</v>
      </c>
      <c r="K5" s="4" t="s">
        <v>9</v>
      </c>
    </row>
    <row r="6" spans="1:11" x14ac:dyDescent="0.3">
      <c r="A6" s="1" t="s">
        <v>37</v>
      </c>
      <c r="B6" s="2" t="s">
        <v>119</v>
      </c>
      <c r="C6" s="3" t="s">
        <v>107</v>
      </c>
      <c r="D6" s="3" t="s">
        <v>115</v>
      </c>
      <c r="E6" s="3" t="s">
        <v>0</v>
      </c>
      <c r="F6" s="3">
        <v>2</v>
      </c>
      <c r="G6" s="3">
        <f>SUM(Tabel23[[#This Row],[Aantal per PCB]]*Aantal_Display_knop_PCB_s)</f>
        <v>2</v>
      </c>
      <c r="H6" s="14">
        <v>5.5E-2</v>
      </c>
      <c r="I6">
        <v>10</v>
      </c>
      <c r="J6" s="15">
        <f t="shared" si="0"/>
        <v>0.55000000000000004</v>
      </c>
      <c r="K6" s="4" t="s">
        <v>3</v>
      </c>
    </row>
    <row r="7" spans="1:11" x14ac:dyDescent="0.3">
      <c r="A7" s="1" t="s">
        <v>37</v>
      </c>
      <c r="B7" s="2" t="s">
        <v>118</v>
      </c>
      <c r="C7" s="3" t="s">
        <v>106</v>
      </c>
      <c r="D7" s="3" t="s">
        <v>115</v>
      </c>
      <c r="E7" s="3" t="s">
        <v>0</v>
      </c>
      <c r="F7" s="3">
        <v>1</v>
      </c>
      <c r="G7" s="3">
        <f>SUM(Tabel23[[#This Row],[Aantal per PCB]]*Aantal_Display_knop_PCB_s)</f>
        <v>1</v>
      </c>
      <c r="H7" s="14">
        <v>0.74099999999999999</v>
      </c>
      <c r="I7">
        <v>1</v>
      </c>
      <c r="J7" s="15">
        <f t="shared" si="0"/>
        <v>0.74099999999999999</v>
      </c>
      <c r="K7" s="4" t="s">
        <v>18</v>
      </c>
    </row>
    <row r="8" spans="1:11" x14ac:dyDescent="0.3">
      <c r="A8" s="1" t="s">
        <v>37</v>
      </c>
      <c r="B8" s="2" t="s">
        <v>123</v>
      </c>
      <c r="C8" t="s">
        <v>110</v>
      </c>
      <c r="D8" s="3" t="s">
        <v>115</v>
      </c>
      <c r="E8" s="3" t="s">
        <v>0</v>
      </c>
      <c r="F8" s="3">
        <v>3</v>
      </c>
      <c r="G8" s="3">
        <f>SUM(Tabel23[[#This Row],[Aantal per PCB]]*Aantal_Display_knop_PCB_s)</f>
        <v>3</v>
      </c>
      <c r="H8" s="14">
        <v>9.9000000000000005E-2</v>
      </c>
      <c r="I8">
        <v>10</v>
      </c>
      <c r="J8" s="15">
        <f t="shared" si="0"/>
        <v>0.99</v>
      </c>
      <c r="K8" s="4" t="s">
        <v>111</v>
      </c>
    </row>
    <row r="9" spans="1:11" x14ac:dyDescent="0.3">
      <c r="A9" s="1" t="s">
        <v>37</v>
      </c>
      <c r="B9" t="s">
        <v>178</v>
      </c>
      <c r="C9" s="3" t="s">
        <v>104</v>
      </c>
      <c r="D9" s="3" t="s">
        <v>115</v>
      </c>
      <c r="E9" s="3" t="s">
        <v>0</v>
      </c>
      <c r="F9" s="3">
        <v>4</v>
      </c>
      <c r="G9" s="3">
        <f>SUM(Tabel23[[#This Row],[Aantal per PCB]]*Aantal_Display_knop_PCB_s)</f>
        <v>4</v>
      </c>
      <c r="H9" s="14">
        <v>0.247</v>
      </c>
      <c r="I9">
        <v>1</v>
      </c>
      <c r="J9" s="15">
        <f t="shared" si="0"/>
        <v>0.98799999999999999</v>
      </c>
      <c r="K9" s="16" t="s">
        <v>179</v>
      </c>
    </row>
    <row r="10" spans="1:11" x14ac:dyDescent="0.3">
      <c r="A10" s="1" t="s">
        <v>37</v>
      </c>
      <c r="B10" s="18">
        <v>1814948</v>
      </c>
      <c r="C10" s="20" t="s">
        <v>95</v>
      </c>
      <c r="D10" s="3" t="s">
        <v>115</v>
      </c>
      <c r="E10" s="3" t="s">
        <v>0</v>
      </c>
      <c r="F10" s="3">
        <v>1</v>
      </c>
      <c r="G10" s="3">
        <f>SUM(Tabel23[[#This Row],[Aantal per PCB]]*Aantal_Display_knop_PCB_s)</f>
        <v>1</v>
      </c>
      <c r="H10" s="14">
        <v>1.34</v>
      </c>
      <c r="I10">
        <v>1</v>
      </c>
      <c r="J10" s="15">
        <f t="shared" si="0"/>
        <v>1.34</v>
      </c>
      <c r="K10" s="4" t="s">
        <v>105</v>
      </c>
    </row>
    <row r="11" spans="1:11" x14ac:dyDescent="0.3">
      <c r="A11" s="1" t="s">
        <v>37</v>
      </c>
      <c r="B11" t="s">
        <v>116</v>
      </c>
      <c r="C11" t="s">
        <v>102</v>
      </c>
      <c r="D11" s="3" t="s">
        <v>115</v>
      </c>
      <c r="E11" s="3" t="s">
        <v>0</v>
      </c>
      <c r="F11" s="3">
        <v>2</v>
      </c>
      <c r="G11" s="3">
        <f>SUM(Tabel23[[#This Row],[Aantal per PCB]]*Aantal_Display_knop_PCB_s)</f>
        <v>2</v>
      </c>
      <c r="H11" s="14">
        <v>0.34699999999999998</v>
      </c>
      <c r="I11">
        <v>10</v>
      </c>
      <c r="J11" s="15">
        <f t="shared" si="0"/>
        <v>3.4699999999999998</v>
      </c>
      <c r="K11" s="4" t="s">
        <v>1</v>
      </c>
    </row>
    <row r="12" spans="1:11" x14ac:dyDescent="0.3">
      <c r="A12" s="1" t="s">
        <v>37</v>
      </c>
      <c r="B12" s="5" t="s">
        <v>120</v>
      </c>
      <c r="C12" s="3" t="s">
        <v>113</v>
      </c>
      <c r="D12" s="3" t="s">
        <v>115</v>
      </c>
      <c r="E12" s="3" t="s">
        <v>0</v>
      </c>
      <c r="F12" s="3">
        <v>1</v>
      </c>
      <c r="G12" s="3">
        <f>SUM(Tabel23[[#This Row],[Aantal per PCB]]*Aantal_Display_knop_PCB_s)</f>
        <v>1</v>
      </c>
      <c r="H12">
        <v>3.71</v>
      </c>
      <c r="I12">
        <v>1</v>
      </c>
      <c r="J12" s="15">
        <f t="shared" si="0"/>
        <v>3.71</v>
      </c>
      <c r="K12" s="4" t="s">
        <v>7</v>
      </c>
    </row>
    <row r="13" spans="1:11" x14ac:dyDescent="0.3">
      <c r="A13" s="1" t="s">
        <v>37</v>
      </c>
      <c r="B13" t="s">
        <v>117</v>
      </c>
      <c r="C13" t="s">
        <v>103</v>
      </c>
      <c r="D13" s="3" t="s">
        <v>115</v>
      </c>
      <c r="E13" s="3" t="s">
        <v>0</v>
      </c>
      <c r="F13" s="3">
        <v>4</v>
      </c>
      <c r="G13" s="3">
        <f>SUM(Tabel23[[#This Row],[Aantal per PCB]]*Aantal_Display_knop_PCB_s)</f>
        <v>4</v>
      </c>
      <c r="H13" s="14">
        <v>0.39200000000000002</v>
      </c>
      <c r="I13">
        <v>10</v>
      </c>
      <c r="J13" s="15">
        <f t="shared" si="0"/>
        <v>3.92</v>
      </c>
      <c r="K13" s="4" t="s">
        <v>2</v>
      </c>
    </row>
    <row r="14" spans="1:11" x14ac:dyDescent="0.3">
      <c r="A14" s="1" t="s">
        <v>37</v>
      </c>
      <c r="B14" t="s">
        <v>124</v>
      </c>
      <c r="C14" s="3" t="s">
        <v>112</v>
      </c>
      <c r="D14" s="3" t="s">
        <v>115</v>
      </c>
      <c r="E14" s="3" t="s">
        <v>0</v>
      </c>
      <c r="F14" s="3">
        <v>2</v>
      </c>
      <c r="G14" s="3">
        <f>SUM(Tabel23[[#This Row],[Aantal per PCB]]*Aantal_Display_knop_PCB_s)</f>
        <v>2</v>
      </c>
      <c r="H14" s="14">
        <v>0.71299999999999997</v>
      </c>
      <c r="I14">
        <v>0</v>
      </c>
      <c r="J14" s="15"/>
      <c r="K14" s="4" t="s">
        <v>125</v>
      </c>
    </row>
    <row r="15" spans="1:11" x14ac:dyDescent="0.3">
      <c r="A15" s="1"/>
      <c r="C15" s="3"/>
      <c r="D15" s="3"/>
      <c r="E15" s="3"/>
      <c r="F15" s="3"/>
      <c r="G15" s="3"/>
      <c r="H15" s="3"/>
      <c r="J15" s="22">
        <f>SUBTOTAL(109,Tabel23[Prijs totaal])</f>
        <v>16.477000000000004</v>
      </c>
      <c r="K15" s="23"/>
    </row>
  </sheetData>
  <hyperlinks>
    <hyperlink ref="K11" r:id="rId1" xr:uid="{83B0ABF3-A710-47D5-A32B-E051E38875F2}"/>
    <hyperlink ref="K13" r:id="rId2" xr:uid="{D055189C-8C2C-4678-AA52-869722D07124}"/>
    <hyperlink ref="K6" r:id="rId3" xr:uid="{A3AAD972-12FE-4362-82F5-3EE0C6C83CFE}"/>
    <hyperlink ref="K3" r:id="rId4" xr:uid="{7B7C54E7-D9A2-475A-B3CB-546A3128391A}"/>
    <hyperlink ref="K12" r:id="rId5" xr:uid="{BB40ACF4-789A-46C6-932A-2D483BC0057F}"/>
    <hyperlink ref="K5" r:id="rId6" xr:uid="{2B41EE26-41C7-458D-BC5D-14047B7B9FD1}"/>
    <hyperlink ref="K7" r:id="rId7" xr:uid="{4FF14A19-4D84-4C8A-9D26-E82776154CF9}"/>
    <hyperlink ref="K9" r:id="rId8" xr:uid="{C1653346-DAB9-4D9A-9CC9-85C2BEA26082}"/>
    <hyperlink ref="K10" r:id="rId9" xr:uid="{F89213EE-4232-498D-AB54-404BEEA81398}"/>
    <hyperlink ref="K8" r:id="rId10" xr:uid="{5AA9F428-46B5-401F-8AA1-81897FAC5A6F}"/>
    <hyperlink ref="K14" r:id="rId11" xr:uid="{641CEF6C-3480-4203-978E-6DB90C15F679}"/>
    <hyperlink ref="K4" r:id="rId12" xr:uid="{32705800-3D09-4271-BB08-F5807D1221F2}"/>
  </hyperlinks>
  <pageMargins left="0.7" right="0.7" top="0.75" bottom="0.75" header="0.3" footer="0.3"/>
  <tableParts count="1">
    <tablePart r:id="rId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08F89-6620-445F-9AB0-71BFD99DC6CE}">
  <dimension ref="A1:K17"/>
  <sheetViews>
    <sheetView tabSelected="1" zoomScale="85" zoomScaleNormal="85" workbookViewId="0">
      <selection activeCell="B13" sqref="B13"/>
    </sheetView>
  </sheetViews>
  <sheetFormatPr defaultRowHeight="14.4" x14ac:dyDescent="0.3"/>
  <cols>
    <col min="1" max="1" width="18.5546875" bestFit="1" customWidth="1"/>
    <col min="2" max="2" width="78.5546875" customWidth="1"/>
    <col min="3" max="3" width="38.5546875" bestFit="1" customWidth="1"/>
    <col min="4" max="4" width="21" bestFit="1" customWidth="1"/>
    <col min="5" max="5" width="14.21875" bestFit="1" customWidth="1"/>
    <col min="6" max="6" width="23.77734375" bestFit="1" customWidth="1"/>
    <col min="7" max="7" width="14.88671875" bestFit="1" customWidth="1"/>
    <col min="8" max="8" width="12.33203125" style="15" bestFit="1" customWidth="1"/>
    <col min="9" max="9" width="13.88671875" bestFit="1" customWidth="1"/>
    <col min="10" max="10" width="16.5546875" bestFit="1" customWidth="1"/>
    <col min="11" max="11" width="132.6640625" customWidth="1"/>
  </cols>
  <sheetData>
    <row r="1" spans="1:11" x14ac:dyDescent="0.3">
      <c r="A1" s="24" t="s">
        <v>152</v>
      </c>
      <c r="B1" s="7" t="s">
        <v>149</v>
      </c>
      <c r="C1" s="24" t="s">
        <v>150</v>
      </c>
      <c r="D1" s="7">
        <v>1</v>
      </c>
    </row>
    <row r="2" spans="1:11" x14ac:dyDescent="0.3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148</v>
      </c>
      <c r="G2" t="s">
        <v>32</v>
      </c>
      <c r="H2" s="36" t="s">
        <v>33</v>
      </c>
      <c r="I2" t="s">
        <v>34</v>
      </c>
      <c r="J2" t="s">
        <v>35</v>
      </c>
      <c r="K2" t="s">
        <v>36</v>
      </c>
    </row>
    <row r="3" spans="1:11" x14ac:dyDescent="0.3">
      <c r="A3" s="26" t="s">
        <v>37</v>
      </c>
      <c r="B3" s="37" t="s">
        <v>144</v>
      </c>
      <c r="C3" s="27" t="s">
        <v>145</v>
      </c>
      <c r="D3" s="28" t="s">
        <v>164</v>
      </c>
      <c r="E3" s="29" t="s">
        <v>147</v>
      </c>
      <c r="F3" s="29">
        <v>4</v>
      </c>
      <c r="G3" s="28">
        <f>Tabel4[[#This Row],[Aantal per Spraaktrainer]]*Aantal_Spraaktrainers</f>
        <v>4</v>
      </c>
      <c r="H3" s="33">
        <v>6</v>
      </c>
      <c r="I3" s="28">
        <v>1</v>
      </c>
      <c r="J3" s="30">
        <f>H3*(ROUNDUP(G3/I3,0))*I3</f>
        <v>24</v>
      </c>
      <c r="K3" s="31" t="s">
        <v>151</v>
      </c>
    </row>
    <row r="4" spans="1:11" x14ac:dyDescent="0.3">
      <c r="A4" s="32" t="s">
        <v>37</v>
      </c>
      <c r="B4" s="37">
        <v>1778887</v>
      </c>
      <c r="C4" s="27" t="s">
        <v>19</v>
      </c>
      <c r="D4" s="28" t="s">
        <v>154</v>
      </c>
      <c r="E4" s="29" t="s">
        <v>0</v>
      </c>
      <c r="F4" s="29">
        <v>8</v>
      </c>
      <c r="G4" s="28">
        <f>Tabel4[[#This Row],[Aantal per Spraaktrainer]]*Aantal_Spraaktrainers</f>
        <v>8</v>
      </c>
      <c r="H4" s="33">
        <v>2.79</v>
      </c>
      <c r="I4" s="28">
        <v>1</v>
      </c>
      <c r="J4" s="30">
        <f t="shared" ref="J4:J7" si="0">H4*(ROUNDUP(G4/I4,0))*I4</f>
        <v>22.32</v>
      </c>
      <c r="K4" s="31" t="s">
        <v>20</v>
      </c>
    </row>
    <row r="5" spans="1:11" x14ac:dyDescent="0.3">
      <c r="A5" s="26" t="s">
        <v>37</v>
      </c>
      <c r="B5" s="18">
        <v>1778874</v>
      </c>
      <c r="C5" s="2" t="s">
        <v>21</v>
      </c>
      <c r="D5" s="28" t="s">
        <v>154</v>
      </c>
      <c r="E5" s="3" t="s">
        <v>0</v>
      </c>
      <c r="F5" s="3">
        <v>2</v>
      </c>
      <c r="G5" s="28">
        <f>Tabel4[[#This Row],[Aantal per Spraaktrainer]]*Aantal_Spraaktrainers</f>
        <v>2</v>
      </c>
      <c r="H5" s="34">
        <v>2.5</v>
      </c>
      <c r="I5">
        <v>1</v>
      </c>
      <c r="J5" s="30">
        <f t="shared" si="0"/>
        <v>5</v>
      </c>
      <c r="K5" s="35" t="s">
        <v>22</v>
      </c>
    </row>
    <row r="6" spans="1:11" x14ac:dyDescent="0.3">
      <c r="A6" s="26" t="s">
        <v>37</v>
      </c>
      <c r="B6" s="18">
        <v>1778890</v>
      </c>
      <c r="C6" s="2" t="s">
        <v>23</v>
      </c>
      <c r="D6" s="28" t="s">
        <v>154</v>
      </c>
      <c r="E6" s="3" t="s">
        <v>0</v>
      </c>
      <c r="F6" s="3">
        <v>4</v>
      </c>
      <c r="G6" s="28">
        <f>Tabel4[[#This Row],[Aantal per Spraaktrainer]]*Aantal_Spraaktrainers</f>
        <v>4</v>
      </c>
      <c r="H6" s="34">
        <v>3.11</v>
      </c>
      <c r="I6">
        <v>1</v>
      </c>
      <c r="J6" s="30">
        <f t="shared" si="0"/>
        <v>12.44</v>
      </c>
      <c r="K6" s="35" t="s">
        <v>24</v>
      </c>
    </row>
    <row r="7" spans="1:11" x14ac:dyDescent="0.3">
      <c r="A7" s="26" t="s">
        <v>37</v>
      </c>
      <c r="B7" s="18">
        <v>1778887</v>
      </c>
      <c r="C7" s="2" t="s">
        <v>19</v>
      </c>
      <c r="D7" s="28" t="s">
        <v>154</v>
      </c>
      <c r="E7" s="3" t="s">
        <v>0</v>
      </c>
      <c r="F7" s="3">
        <v>2</v>
      </c>
      <c r="G7" s="28">
        <f>Tabel4[[#This Row],[Aantal per Spraaktrainer]]*Aantal_Spraaktrainers</f>
        <v>2</v>
      </c>
      <c r="H7" s="34">
        <v>2.79</v>
      </c>
      <c r="I7">
        <v>1</v>
      </c>
      <c r="J7" s="30">
        <f t="shared" si="0"/>
        <v>5.58</v>
      </c>
      <c r="K7" s="35" t="s">
        <v>20</v>
      </c>
    </row>
    <row r="8" spans="1:11" x14ac:dyDescent="0.3">
      <c r="A8" s="26" t="s">
        <v>37</v>
      </c>
      <c r="B8" s="37" t="s">
        <v>181</v>
      </c>
      <c r="C8" s="27" t="s">
        <v>182</v>
      </c>
      <c r="D8" s="28" t="s">
        <v>177</v>
      </c>
      <c r="E8" s="29" t="s">
        <v>0</v>
      </c>
      <c r="F8" s="29">
        <v>18</v>
      </c>
      <c r="G8" s="28">
        <f>Tabel4[[#This Row],[Aantal per Spraaktrainer]]*Aantal_Spraaktrainers</f>
        <v>18</v>
      </c>
      <c r="H8" s="33">
        <v>9.5000000000000001E-2</v>
      </c>
      <c r="I8" s="28">
        <v>1</v>
      </c>
      <c r="J8" s="38">
        <f t="shared" ref="J8:J14" si="1">H8*(ROUNDUP(G8/I8,0))*I8</f>
        <v>1.71</v>
      </c>
      <c r="K8" s="31" t="s">
        <v>183</v>
      </c>
    </row>
    <row r="9" spans="1:11" x14ac:dyDescent="0.3">
      <c r="A9" s="32" t="s">
        <v>153</v>
      </c>
      <c r="B9" s="37" t="s">
        <v>175</v>
      </c>
      <c r="C9" s="27" t="s">
        <v>176</v>
      </c>
      <c r="D9" s="28" t="s">
        <v>177</v>
      </c>
      <c r="E9" s="29" t="s">
        <v>0</v>
      </c>
      <c r="F9" s="29">
        <v>4</v>
      </c>
      <c r="G9" s="28">
        <f>Tabel4[[#This Row],[Aantal per Spraaktrainer]]*Aantal_Spraaktrainers</f>
        <v>4</v>
      </c>
      <c r="H9" s="33">
        <v>0.14299999999999999</v>
      </c>
      <c r="I9" s="28">
        <v>1</v>
      </c>
      <c r="J9" s="38">
        <f t="shared" si="1"/>
        <v>0.57199999999999995</v>
      </c>
      <c r="K9" s="31" t="s">
        <v>180</v>
      </c>
    </row>
    <row r="10" spans="1:11" x14ac:dyDescent="0.3">
      <c r="A10" s="32" t="s">
        <v>153</v>
      </c>
      <c r="B10" s="37" t="s">
        <v>185</v>
      </c>
      <c r="C10" s="27" t="s">
        <v>146</v>
      </c>
      <c r="D10" s="28" t="s">
        <v>164</v>
      </c>
      <c r="E10" s="29" t="s">
        <v>186</v>
      </c>
      <c r="F10" s="29">
        <v>4</v>
      </c>
      <c r="G10" s="28">
        <f>Tabel4[[#This Row],[Aantal per Spraaktrainer]]*Aantal_Spraaktrainers</f>
        <v>4</v>
      </c>
      <c r="H10" s="33">
        <v>0.66</v>
      </c>
      <c r="I10" s="28">
        <v>1</v>
      </c>
      <c r="J10" s="38">
        <f t="shared" si="1"/>
        <v>2.64</v>
      </c>
      <c r="K10" s="31" t="s">
        <v>184</v>
      </c>
    </row>
    <row r="11" spans="1:11" x14ac:dyDescent="0.3">
      <c r="A11" s="32" t="s">
        <v>153</v>
      </c>
      <c r="B11" s="37" t="s">
        <v>158</v>
      </c>
      <c r="C11" s="27" t="s">
        <v>159</v>
      </c>
      <c r="D11" s="28" t="s">
        <v>160</v>
      </c>
      <c r="E11" s="29" t="s">
        <v>147</v>
      </c>
      <c r="F11" s="29">
        <v>1</v>
      </c>
      <c r="G11" s="28">
        <f>Tabel4[[#This Row],[Aantal per Spraaktrainer]]*Aantal_Spraaktrainers</f>
        <v>1</v>
      </c>
      <c r="H11" s="33">
        <v>3.5</v>
      </c>
      <c r="I11" s="28">
        <v>1</v>
      </c>
      <c r="J11" s="38">
        <f t="shared" si="1"/>
        <v>3.5</v>
      </c>
      <c r="K11" s="31" t="s">
        <v>167</v>
      </c>
    </row>
    <row r="12" spans="1:11" x14ac:dyDescent="0.3">
      <c r="A12" s="32" t="s">
        <v>153</v>
      </c>
      <c r="B12" s="37" t="s">
        <v>161</v>
      </c>
      <c r="C12" s="27" t="s">
        <v>162</v>
      </c>
      <c r="D12" s="28" t="s">
        <v>163</v>
      </c>
      <c r="E12" s="29" t="s">
        <v>147</v>
      </c>
      <c r="F12" s="29">
        <v>1</v>
      </c>
      <c r="G12" s="28">
        <f>Tabel4[[#This Row],[Aantal per Spraaktrainer]]*Aantal_Spraaktrainers</f>
        <v>1</v>
      </c>
      <c r="H12" s="33">
        <v>10.5</v>
      </c>
      <c r="I12" s="28">
        <v>1</v>
      </c>
      <c r="J12" s="38">
        <f t="shared" si="1"/>
        <v>10.5</v>
      </c>
      <c r="K12" s="31" t="s">
        <v>168</v>
      </c>
    </row>
    <row r="13" spans="1:11" x14ac:dyDescent="0.3">
      <c r="A13" s="32" t="s">
        <v>153</v>
      </c>
      <c r="B13" s="37" t="s">
        <v>187</v>
      </c>
      <c r="C13" s="27" t="s">
        <v>188</v>
      </c>
      <c r="D13" s="28" t="s">
        <v>165</v>
      </c>
      <c r="E13" s="29" t="s">
        <v>147</v>
      </c>
      <c r="F13" s="29">
        <v>1</v>
      </c>
      <c r="G13" s="28">
        <f>Tabel4[[#This Row],[Aantal per Spraaktrainer]]*Aantal_Spraaktrainers</f>
        <v>1</v>
      </c>
      <c r="H13" s="33">
        <v>20</v>
      </c>
      <c r="I13" s="28">
        <v>1</v>
      </c>
      <c r="J13" s="38">
        <f t="shared" si="1"/>
        <v>20</v>
      </c>
      <c r="K13" s="31" t="s">
        <v>166</v>
      </c>
    </row>
    <row r="14" spans="1:11" x14ac:dyDescent="0.3">
      <c r="A14" s="32" t="s">
        <v>153</v>
      </c>
      <c r="B14" s="37" t="s">
        <v>170</v>
      </c>
      <c r="C14" s="27" t="s">
        <v>171</v>
      </c>
      <c r="D14" s="28" t="s">
        <v>172</v>
      </c>
      <c r="E14" s="29" t="s">
        <v>147</v>
      </c>
      <c r="F14" s="29">
        <v>1</v>
      </c>
      <c r="G14" s="28">
        <f>Tabel4[[#This Row],[Aantal per Spraaktrainer]]*Aantal_Spraaktrainers</f>
        <v>1</v>
      </c>
      <c r="H14" s="33">
        <v>6</v>
      </c>
      <c r="I14" s="28">
        <v>1</v>
      </c>
      <c r="J14" s="38">
        <f t="shared" si="1"/>
        <v>6</v>
      </c>
      <c r="K14" s="31" t="s">
        <v>169</v>
      </c>
    </row>
    <row r="15" spans="1:11" x14ac:dyDescent="0.3">
      <c r="I15" t="s">
        <v>101</v>
      </c>
      <c r="J15" s="41">
        <f>SUM(Tabel4[Prijs totaal])</f>
        <v>114.262</v>
      </c>
    </row>
    <row r="17" spans="1:1" x14ac:dyDescent="0.3">
      <c r="A17" s="22"/>
    </row>
  </sheetData>
  <hyperlinks>
    <hyperlink ref="K4" r:id="rId1" xr:uid="{1AC9BC0F-9ECD-4E44-8C07-6590A95B175E}"/>
    <hyperlink ref="K5" r:id="rId2" xr:uid="{70E3C954-C48F-4959-B0D6-B8F64E3464DB}"/>
    <hyperlink ref="K6" r:id="rId3" xr:uid="{176932B0-E8AB-42F2-BA1A-0FDBD2E311F0}"/>
    <hyperlink ref="K7" r:id="rId4" xr:uid="{EBD222EC-D888-49FB-A5DF-1AA6D02AF21F}"/>
    <hyperlink ref="K3" r:id="rId5" xr:uid="{377778CC-708D-4632-B4C2-DCDF3888CCE7}"/>
    <hyperlink ref="K13" r:id="rId6" xr:uid="{324335B6-95AE-4CE5-9C8B-857B0A748370}"/>
    <hyperlink ref="K11" r:id="rId7" xr:uid="{8989EA67-6380-43F9-B469-3CD7B48E3FCF}"/>
    <hyperlink ref="K12" r:id="rId8" xr:uid="{1FD435CC-03E8-49A9-B2C4-F8713544AF68}"/>
    <hyperlink ref="K14" r:id="rId9" xr:uid="{46E06B10-1F84-4850-872D-C19DDC3A9312}"/>
    <hyperlink ref="K9" r:id="rId10" xr:uid="{6E730E5E-8EB6-4F09-8B6A-F25C7653EB83}"/>
    <hyperlink ref="K8" r:id="rId11" xr:uid="{74A6BB9D-B4F3-4442-9761-AACE07F279B6}"/>
  </hyperlinks>
  <pageMargins left="0.7" right="0.7" top="0.75" bottom="0.75" header="0.3" footer="0.3"/>
  <pageSetup paperSize="9" orientation="portrait" r:id="rId12"/>
  <tableParts count="1">
    <tablePart r:id="rId1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d58d66-5c8d-40d3-a43c-cb2c0f12c35f">
      <Terms xmlns="http://schemas.microsoft.com/office/infopath/2007/PartnerControls"/>
    </lcf76f155ced4ddcb4097134ff3c332f>
    <TaxCatchAll xmlns="4e407bc0-bf9a-4977-b17c-bf9912af5e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4175FEAE8FDB42B28905FEAE35D7DB" ma:contentTypeVersion="13" ma:contentTypeDescription="Een nieuw document maken." ma:contentTypeScope="" ma:versionID="0126021e12830eec18799c49f3980d66">
  <xsd:schema xmlns:xsd="http://www.w3.org/2001/XMLSchema" xmlns:xs="http://www.w3.org/2001/XMLSchema" xmlns:p="http://schemas.microsoft.com/office/2006/metadata/properties" xmlns:ns2="37d58d66-5c8d-40d3-a43c-cb2c0f12c35f" xmlns:ns3="4e407bc0-bf9a-4977-b17c-bf9912af5ee7" targetNamespace="http://schemas.microsoft.com/office/2006/metadata/properties" ma:root="true" ma:fieldsID="5f1bcba8ef2a5d7a7e9f14997e98c65d" ns2:_="" ns3:_="">
    <xsd:import namespace="37d58d66-5c8d-40d3-a43c-cb2c0f12c35f"/>
    <xsd:import namespace="4e407bc0-bf9a-4977-b17c-bf9912af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d58d66-5c8d-40d3-a43c-cb2c0f12c3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Afbeeldingtags" ma:readOnly="false" ma:fieldId="{5cf76f15-5ced-4ddc-b409-7134ff3c332f}" ma:taxonomyMulti="true" ma:sspId="f6aa0a0a-ab1b-4084-9454-0fab047259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407bc0-bf9a-4977-b17c-bf9912af5ee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4ee6337-5064-4a2d-b082-dd44dce279d5}" ma:internalName="TaxCatchAll" ma:showField="CatchAllData" ma:web="4e407bc0-bf9a-4977-b17c-bf9912af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05F505-CCAD-4383-BEEE-6BC5C843E47E}">
  <ds:schemaRefs>
    <ds:schemaRef ds:uri="http://purl.org/dc/dcmitype/"/>
    <ds:schemaRef ds:uri="http://schemas.microsoft.com/office/2006/documentManagement/types"/>
    <ds:schemaRef ds:uri="37d58d66-5c8d-40d3-a43c-cb2c0f12c35f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elements/1.1/"/>
    <ds:schemaRef ds:uri="http://purl.org/dc/terms/"/>
    <ds:schemaRef ds:uri="4e407bc0-bf9a-4977-b17c-bf9912af5ee7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AB77A96-1763-473E-8CA9-AFD8AEC812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2A7438-F4AC-4CFC-9A01-4E173A00F4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d58d66-5c8d-40d3-a43c-cb2c0f12c35f"/>
    <ds:schemaRef ds:uri="4e407bc0-bf9a-4977-b17c-bf9912af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4</vt:i4>
      </vt:variant>
      <vt:variant>
        <vt:lpstr>Benoemde bereiken</vt:lpstr>
      </vt:variant>
      <vt:variant>
        <vt:i4>4</vt:i4>
      </vt:variant>
    </vt:vector>
  </HeadingPairs>
  <TitlesOfParts>
    <vt:vector size="8" baseType="lpstr">
      <vt:lpstr>Hoofd module</vt:lpstr>
      <vt:lpstr>Power module</vt:lpstr>
      <vt:lpstr>Display knop module</vt:lpstr>
      <vt:lpstr>Extra</vt:lpstr>
      <vt:lpstr>Aantal_Basis_PCB_s</vt:lpstr>
      <vt:lpstr>Aantal_Display_knop_PCB_s</vt:lpstr>
      <vt:lpstr>Aantal_PCB_s</vt:lpstr>
      <vt:lpstr>Aantal_Spraaktrainers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Niels van de Pol</cp:lastModifiedBy>
  <cp:revision/>
  <dcterms:created xsi:type="dcterms:W3CDTF">2025-05-21T11:01:27Z</dcterms:created>
  <dcterms:modified xsi:type="dcterms:W3CDTF">2025-12-27T18:45:43Z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0x010100F14175FEAE8FDB42B28905FEAE35D7DB</vt:lpwstr>
  </property>
  <property fmtid="{D5CDD505-2E9C-101B-9397-08002B2CF9AE}" pid="3" name="MediaServiceImageTags">
    <vt:lpwstr/>
  </property>
</Properties>
</file>